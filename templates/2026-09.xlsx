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sheet - Standard Hours" sheetId="1" r:id="rId5"/>
    <sheet state="visible" name="Timesheet - Overtime Hours" sheetId="2" r:id="rId6"/>
  </sheets>
  <definedNames>
    <definedName name="TASK">#REF!</definedName>
    <definedName name="BILLABLE">#REF!</definedName>
    <definedName name="NON_BILLABLE">#REF!</definedName>
    <definedName localSheetId="1" name="Z_3AB8414B_0C44_456F_985F_0FABA95885C7_.wvu.PrintArea">'Timesheet - Overtime Hours'!$A$1:$H$20</definedName>
    <definedName name="PROJECT">#REF!</definedName>
    <definedName name="ROLE">#REF!</definedName>
    <definedName localSheetId="0" name="Z_3AB8414B_0C44_456F_985F_0FABA95885C7_.wvu.PrintArea">'Timesheet - Standard Hours'!$A$1:$H$36</definedName>
    <definedName localSheetId="1" name="Z_AC4AFEEF_A1CF_4707_BF67_DBCC52BB2954_.wvu.PrintArea">'Timesheet - Overtime Hours'!$A$1:$H$20</definedName>
    <definedName localSheetId="0" name="Z_AC4AFEEF_A1CF_4707_BF67_DBCC52BB2954_.wvu.PrintArea">'Timesheet - Standard Hours'!$A$1:$H$36</definedName>
    <definedName hidden="1" localSheetId="0" name="_xlnm._FilterDatabase">'Timesheet - Standard Hours'!$A$6:$H$37</definedName>
    <definedName hidden="1" localSheetId="1" name="_xlnm._FilterDatabase">'Timesheet - Overtime Hours'!$A$6:$H$21</definedName>
  </definedNames>
  <calcPr/>
</workbook>
</file>

<file path=xl/sharedStrings.xml><?xml version="1.0" encoding="utf-8"?>
<sst xmlns="http://schemas.openxmlformats.org/spreadsheetml/2006/main" count="170" uniqueCount="27">
  <si>
    <t> Timesheet - Standard Hours</t>
  </si>
  <si>
    <t xml:space="preserve">Period : </t>
  </si>
  <si>
    <t>2026 Sep</t>
  </si>
  <si>
    <t xml:space="preserve">Staff Name : </t>
  </si>
  <si>
    <t>&lt;&gt;</t>
  </si>
  <si>
    <t>Site :</t>
  </si>
  <si>
    <t>Key Tasks Accomplished in this period</t>
  </si>
  <si>
    <t>Task Code and Task Name</t>
  </si>
  <si>
    <t>Role</t>
  </si>
  <si>
    <t>Date</t>
  </si>
  <si>
    <t>Time In</t>
  </si>
  <si>
    <t>Time Out</t>
  </si>
  <si>
    <t>Included Lunch Time</t>
  </si>
  <si>
    <t>Hours</t>
  </si>
  <si>
    <t>Detail</t>
  </si>
  <si>
    <t>W1 - Test Execution</t>
  </si>
  <si>
    <t>Junior QA Consult</t>
  </si>
  <si>
    <t>YES</t>
  </si>
  <si>
    <t>Execute LMS test</t>
  </si>
  <si>
    <t>H1 - Holiday</t>
  </si>
  <si>
    <t>Task</t>
  </si>
  <si>
    <t>Total Hours</t>
  </si>
  <si>
    <t>Total Days</t>
  </si>
  <si>
    <t>Work Time</t>
  </si>
  <si>
    <t>Grand Total</t>
  </si>
  <si>
    <t xml:space="preserve"> Timesheet - Overtime Hours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</si>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</sst>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[$]hh:mm"/>
    <numFmt numFmtId="166" formatCode="[$-F800]dddd\,\ mmmm\ dd\,\ yyyy"/>
  </numFmts>
  <fonts count="16">
    <font>
      <sz val="11.0"/>
      <color rgb="FF000000"/>
      <name val="Tahoma"/>
      <scheme val="minor"/>
    </font>
    <font>
      <sz val="11.0"/>
      <color rgb="FF000000"/>
      <name val="Tahoma"/>
    </font>
    <font>
      <b/>
      <sz val="18.0"/>
      <color rgb="FF1D1C1D"/>
      <name val="Arial"/>
    </font>
    <font>
      <b/>
      <sz val="12.0"/>
      <color theme="1"/>
      <name val="Tahoma"/>
    </font>
    <font>
      <sz val="12.0"/>
      <color theme="1"/>
      <name val="Tahoma"/>
    </font>
    <font/>
    <font>
      <b/>
      <sz val="12.0"/>
      <color rgb="FF000000"/>
      <name val="Tahoma"/>
    </font>
    <font>
      <sz val="12.0"/>
      <color rgb="FF000000"/>
      <name val="Tahoma"/>
    </font>
    <font>
      <b/>
      <i/>
      <sz val="10.0"/>
      <color rgb="FF0000FF"/>
      <name val="Tahoma"/>
    </font>
    <font>
      <sz val="10.0"/>
      <color rgb="FF000000"/>
      <name val="Tahoma"/>
    </font>
    <font>
      <b/>
      <sz val="10.0"/>
      <color rgb="FF000000"/>
      <name val="Tahoma"/>
    </font>
    <font>
      <sz val="10.0"/>
      <color theme="1"/>
      <name val="Tahoma"/>
    </font>
    <font>
      <sz val="11.0"/>
      <color theme="1"/>
      <name val="Calibri"/>
    </font>
    <font>
      <sz val="11.0"/>
      <color theme="1"/>
      <name val="Arial"/>
    </font>
    <font>
      <sz val="11.0"/>
      <color theme="1"/>
      <name val="Tahoma"/>
    </font>
    <font>
      <sz val="14.0"/>
      <color rgb="FF002060"/>
      <name val="Caveat"/>
    </font>
  </fonts>
  <fills count="9">
    <fill>
      <patternFill patternType="none"/>
    </fill>
    <fill>
      <patternFill patternType="lightGray"/>
    </fill>
    <fill>
      <patternFill patternType="solid">
        <fgColor rgb="FFEAD500"/>
        <bgColor rgb="FFEAD500"/>
      </patternFill>
    </fill>
    <fill>
      <patternFill patternType="solid">
        <fgColor rgb="FFFFFA58"/>
        <bgColor rgb="FFFFFA5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DE9D9"/>
        <bgColor rgb="FFFDE9D9"/>
      </patternFill>
    </fill>
    <fill>
      <patternFill patternType="solid">
        <fgColor rgb="FFA5A5A5"/>
        <bgColor rgb="FFA5A5A5"/>
      </patternFill>
    </fill>
    <fill>
      <patternFill patternType="solid">
        <fgColor rgb="FFC0C0C0"/>
        <bgColor rgb="FFC0C0C0"/>
      </patternFill>
    </fill>
  </fills>
  <borders count="18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vertical="center"/>
    </xf>
    <xf borderId="1" fillId="2" fontId="3" numFmtId="0" xfId="0" applyAlignment="1" applyBorder="1" applyFill="1" applyFont="1">
      <alignment horizontal="right" shrinkToFit="0" wrapText="1"/>
    </xf>
    <xf borderId="2" fillId="2" fontId="4" numFmtId="0" xfId="0" applyAlignment="1" applyBorder="1" applyFont="1">
      <alignment readingOrder="0" shrinkToFit="0" wrapText="1"/>
    </xf>
    <xf borderId="3" fillId="0" fontId="5" numFmtId="0" xfId="0" applyBorder="1" applyFont="1"/>
    <xf borderId="4" fillId="0" fontId="5" numFmtId="0" xfId="0" applyBorder="1" applyFont="1"/>
    <xf borderId="1" fillId="3" fontId="6" numFmtId="0" xfId="0" applyAlignment="1" applyBorder="1" applyFill="1" applyFont="1">
      <alignment horizontal="right" shrinkToFit="0" wrapText="1"/>
    </xf>
    <xf borderId="1" fillId="3" fontId="7" numFmtId="0" xfId="0" applyAlignment="1" applyBorder="1" applyFont="1">
      <alignment horizontal="left" shrinkToFit="0" wrapText="1"/>
    </xf>
    <xf borderId="1" fillId="3" fontId="7" numFmtId="0" xfId="0" applyAlignment="1" applyBorder="1" applyFont="1">
      <alignment horizontal="left"/>
    </xf>
    <xf borderId="1" fillId="3" fontId="6" numFmtId="0" xfId="0" applyAlignment="1" applyBorder="1" applyFont="1">
      <alignment shrinkToFit="0" wrapText="1"/>
    </xf>
    <xf borderId="0" fillId="0" fontId="1" numFmtId="0" xfId="0" applyFont="1"/>
    <xf borderId="0" fillId="0" fontId="8" numFmtId="0" xfId="0" applyFont="1"/>
    <xf borderId="0" fillId="0" fontId="9" numFmtId="0" xfId="0" applyFont="1"/>
    <xf borderId="5" fillId="4" fontId="10" numFmtId="0" xfId="0" applyAlignment="1" applyBorder="1" applyFill="1" applyFont="1">
      <alignment horizontal="center" shrinkToFit="0" vertical="center" wrapText="1"/>
    </xf>
    <xf borderId="6" fillId="5" fontId="11" numFmtId="0" xfId="0" applyAlignment="1" applyBorder="1" applyFill="1" applyFont="1">
      <alignment horizontal="center" shrinkToFit="0" vertical="center" wrapText="1"/>
    </xf>
    <xf borderId="6" fillId="4" fontId="11" numFmtId="0" xfId="0" applyAlignment="1" applyBorder="1" applyFont="1">
      <alignment horizontal="center" shrinkToFit="0" vertical="center" wrapText="1"/>
    </xf>
    <xf borderId="6" fillId="5" fontId="12" numFmtId="164" xfId="0" applyAlignment="1" applyBorder="1" applyFont="1" applyNumberFormat="1">
      <alignment horizontal="center" vertical="center"/>
    </xf>
    <xf borderId="6" fillId="5" fontId="12" numFmtId="165" xfId="0" applyAlignment="1" applyBorder="1" applyFont="1" applyNumberFormat="1">
      <alignment horizontal="center" vertical="center"/>
    </xf>
    <xf borderId="5" fillId="5" fontId="12" numFmtId="165" xfId="0" applyAlignment="1" applyBorder="1" applyFont="1" applyNumberFormat="1">
      <alignment horizontal="center" vertical="center"/>
    </xf>
    <xf borderId="5" fillId="5" fontId="12" numFmtId="20" xfId="0" applyAlignment="1" applyBorder="1" applyFont="1" applyNumberFormat="1">
      <alignment horizontal="center" vertical="center"/>
    </xf>
    <xf borderId="5" fillId="6" fontId="12" numFmtId="2" xfId="0" applyAlignment="1" applyBorder="1" applyFill="1" applyFont="1" applyNumberFormat="1">
      <alignment horizontal="center" vertical="center"/>
    </xf>
    <xf borderId="7" fillId="5" fontId="13" numFmtId="2" xfId="0" applyAlignment="1" applyBorder="1" applyFont="1" applyNumberFormat="1">
      <alignment shrinkToFit="0" vertical="center" wrapText="1"/>
    </xf>
    <xf borderId="0" fillId="0" fontId="14" numFmtId="0" xfId="0" applyAlignment="1" applyFont="1">
      <alignment vertical="center"/>
    </xf>
    <xf borderId="6" fillId="5" fontId="14" numFmtId="165" xfId="0" applyAlignment="1" applyBorder="1" applyFont="1" applyNumberFormat="1">
      <alignment horizontal="center" vertical="center"/>
    </xf>
    <xf borderId="5" fillId="5" fontId="14" numFmtId="165" xfId="0" applyAlignment="1" applyBorder="1" applyFont="1" applyNumberFormat="1">
      <alignment horizontal="center" vertical="center"/>
    </xf>
    <xf borderId="7" fillId="5" fontId="14" numFmtId="2" xfId="0" applyAlignment="1" applyBorder="1" applyFont="1" applyNumberFormat="1">
      <alignment vertical="center"/>
    </xf>
    <xf borderId="7" fillId="5" fontId="14" numFmtId="0" xfId="0" applyAlignment="1" applyBorder="1" applyFont="1">
      <alignment vertical="center"/>
    </xf>
    <xf borderId="6" fillId="7" fontId="11" numFmtId="0" xfId="0" applyAlignment="1" applyBorder="1" applyFill="1" applyFont="1">
      <alignment horizontal="center" shrinkToFit="0" vertical="center" wrapText="1"/>
    </xf>
    <xf borderId="6" fillId="7" fontId="12" numFmtId="164" xfId="0" applyAlignment="1" applyBorder="1" applyFont="1" applyNumberFormat="1">
      <alignment horizontal="center" vertical="center"/>
    </xf>
    <xf borderId="6" fillId="7" fontId="14" numFmtId="165" xfId="0" applyAlignment="1" applyBorder="1" applyFont="1" applyNumberFormat="1">
      <alignment horizontal="center" vertical="center"/>
    </xf>
    <xf borderId="5" fillId="7" fontId="14" numFmtId="165" xfId="0" applyAlignment="1" applyBorder="1" applyFont="1" applyNumberFormat="1">
      <alignment horizontal="center" vertical="center"/>
    </xf>
    <xf borderId="5" fillId="7" fontId="14" numFmtId="20" xfId="0" applyAlignment="1" applyBorder="1" applyFont="1" applyNumberFormat="1">
      <alignment horizontal="center" vertical="center"/>
    </xf>
    <xf borderId="5" fillId="7" fontId="14" numFmtId="2" xfId="0" applyAlignment="1" applyBorder="1" applyFont="1" applyNumberFormat="1">
      <alignment vertical="center"/>
    </xf>
    <xf borderId="7" fillId="7" fontId="14" numFmtId="0" xfId="0" applyAlignment="1" applyBorder="1" applyFont="1">
      <alignment vertical="center"/>
    </xf>
    <xf borderId="1" fillId="5" fontId="14" numFmtId="0" xfId="0" applyAlignment="1" applyBorder="1" applyFont="1">
      <alignment vertical="center"/>
    </xf>
    <xf borderId="7" fillId="7" fontId="14" numFmtId="2" xfId="0" applyAlignment="1" applyBorder="1" applyFont="1" applyNumberFormat="1">
      <alignment vertical="center"/>
    </xf>
    <xf quotePrefix="1" borderId="6" fillId="5" fontId="1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8" fillId="8" fontId="10" numFmtId="0" xfId="0" applyAlignment="1" applyBorder="1" applyFill="1" applyFont="1">
      <alignment horizontal="center" shrinkToFit="0" vertical="center" wrapText="1"/>
    </xf>
    <xf borderId="9" fillId="8" fontId="10" numFmtId="0" xfId="0" applyAlignment="1" applyBorder="1" applyFont="1">
      <alignment horizontal="center" shrinkToFit="0" vertical="center" wrapText="1"/>
    </xf>
    <xf borderId="10" fillId="8" fontId="10" numFmtId="0" xfId="0" applyAlignment="1" applyBorder="1" applyFont="1">
      <alignment horizontal="center" shrinkToFit="0" vertical="center" wrapText="1"/>
    </xf>
    <xf borderId="11" fillId="0" fontId="9" numFmtId="0" xfId="0" applyBorder="1" applyFont="1"/>
    <xf borderId="6" fillId="0" fontId="9" numFmtId="2" xfId="0" applyAlignment="1" applyBorder="1" applyFont="1" applyNumberFormat="1">
      <alignment horizontal="right"/>
    </xf>
    <xf borderId="12" fillId="0" fontId="11" numFmtId="2" xfId="0" applyBorder="1" applyFont="1" applyNumberFormat="1"/>
    <xf borderId="13" fillId="0" fontId="10" numFmtId="0" xfId="0" applyBorder="1" applyFont="1"/>
    <xf borderId="14" fillId="0" fontId="9" numFmtId="2" xfId="0" applyAlignment="1" applyBorder="1" applyFont="1" applyNumberFormat="1">
      <alignment shrinkToFit="0" wrapText="1"/>
    </xf>
    <xf borderId="15" fillId="0" fontId="9" numFmtId="2" xfId="0" applyAlignment="1" applyBorder="1" applyFont="1" applyNumberFormat="1">
      <alignment horizontal="right" shrinkToFit="0" wrapText="1"/>
    </xf>
    <xf borderId="0" fillId="0" fontId="15" numFmtId="0" xfId="0" applyAlignment="1" applyFont="1">
      <alignment horizontal="center" shrinkToFit="0" wrapText="1"/>
    </xf>
    <xf borderId="16" fillId="0" fontId="5" numFmtId="0" xfId="0" applyBorder="1" applyFont="1"/>
    <xf borderId="0" fillId="0" fontId="9" numFmtId="0" xfId="0" applyAlignment="1" applyFont="1">
      <alignment shrinkToFit="0" wrapText="1"/>
    </xf>
    <xf borderId="17" fillId="0" fontId="9" numFmtId="0" xfId="0" applyAlignment="1" applyBorder="1" applyFont="1">
      <alignment horizontal="center" shrinkToFit="0" wrapText="1"/>
    </xf>
    <xf borderId="17" fillId="0" fontId="5" numFmtId="0" xfId="0" applyBorder="1" applyFont="1"/>
    <xf borderId="0" fillId="0" fontId="1" numFmtId="0" xfId="0" applyAlignment="1" applyFont="1">
      <alignment horizontal="center" shrinkToFit="0" wrapText="1"/>
    </xf>
    <xf borderId="16" fillId="0" fontId="9" numFmtId="166" xfId="0" applyAlignment="1" applyBorder="1" applyFont="1" applyNumberFormat="1">
      <alignment horizontal="center" shrinkToFit="0" wrapText="1"/>
    </xf>
    <xf quotePrefix="1" borderId="6" fillId="4" fontId="11" numFmtId="0" xfId="0" applyAlignment="1" applyBorder="1" applyFont="1">
      <alignment horizontal="center" shrinkToFit="0" vertical="center" wrapText="1"/>
    </xf>
    <xf borderId="6" fillId="4" fontId="12" numFmtId="164" xfId="0" applyAlignment="1" applyBorder="1" applyFont="1" applyNumberFormat="1">
      <alignment horizontal="center" readingOrder="0" vertical="center"/>
    </xf>
    <xf borderId="6" fillId="4" fontId="12" numFmtId="165" xfId="0" applyAlignment="1" applyBorder="1" applyFont="1" applyNumberFormat="1">
      <alignment horizontal="center" readingOrder="0" vertical="center"/>
    </xf>
    <xf borderId="5" fillId="4" fontId="12" numFmtId="165" xfId="0" applyAlignment="1" applyBorder="1" applyFont="1" applyNumberFormat="1">
      <alignment horizontal="center" readingOrder="0" vertical="center"/>
    </xf>
    <xf borderId="5" fillId="4" fontId="12" numFmtId="20" xfId="0" applyAlignment="1" applyBorder="1" applyFont="1" applyNumberFormat="1">
      <alignment horizontal="center"/>
    </xf>
    <xf borderId="7" fillId="4" fontId="13" numFmtId="2" xfId="0" applyAlignment="1" applyBorder="1" applyFont="1" applyNumberFormat="1">
      <alignment horizontal="left" shrinkToFit="0" vertical="center" wrapText="1"/>
    </xf>
    <xf borderId="6" fillId="4" fontId="12" numFmtId="164" xfId="0" applyAlignment="1" applyBorder="1" applyFont="1" applyNumberFormat="1">
      <alignment horizontal="center" vertical="center"/>
    </xf>
    <xf borderId="6" fillId="4" fontId="12" numFmtId="165" xfId="0" applyAlignment="1" applyBorder="1" applyFont="1" applyNumberFormat="1">
      <alignment horizontal="center" vertical="center"/>
    </xf>
    <xf borderId="5" fillId="4" fontId="12" numFmtId="165" xfId="0" applyAlignment="1" applyBorder="1" applyFont="1" applyNumberFormat="1">
      <alignment horizontal="center" vertical="center"/>
    </xf>
    <xf borderId="7" fillId="4" fontId="13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A5A5A5"/>
          <bgColor rgb="FFA5A5A5"/>
        </patternFill>
      </fill>
      <border/>
    </dxf>
    <dxf>
      <font/>
      <fill>
        <patternFill patternType="solid">
          <fgColor rgb="FFFDE9D9"/>
          <bgColor rgb="FFFDE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905125" cy="962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905125" cy="962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19.63"/>
    <col customWidth="1" min="2" max="2" width="22.0"/>
    <col customWidth="1" min="3" max="3" width="16.13"/>
    <col customWidth="1" min="4" max="4" width="11.88"/>
    <col customWidth="1" min="5" max="6" width="12.88"/>
    <col customWidth="1" min="7" max="7" width="11.88"/>
    <col customWidth="1" min="8" max="8" width="68.0"/>
    <col customWidth="1" min="9" max="9" width="17.13"/>
  </cols>
  <sheetData>
    <row r="1" ht="75.0" customHeight="1">
      <c r="A1" s="1"/>
      <c r="B1" s="1"/>
      <c r="C1" s="2" t="s">
        <v>0</v>
      </c>
      <c r="D1" s="1"/>
      <c r="E1" s="1"/>
      <c r="F1" s="1"/>
      <c r="G1" s="1"/>
      <c r="H1" s="1"/>
    </row>
    <row r="2">
      <c r="A2" s="3" t="s">
        <v>1</v>
      </c>
      <c r="B2" s="4" t="s">
        <v>2</v>
      </c>
      <c r="C2" s="5"/>
      <c r="D2" s="5"/>
      <c r="E2" s="5"/>
      <c r="F2" s="5"/>
      <c r="G2" s="5"/>
      <c r="H2" s="6"/>
    </row>
    <row r="3">
      <c r="A3" s="7" t="s">
        <v>3</v>
      </c>
      <c r="B3" s="8" t="s">
        <v>4</v>
      </c>
      <c r="C3" s="7" t="s">
        <v>5</v>
      </c>
      <c r="D3" s="9" t="s">
        <v>4</v>
      </c>
      <c r="E3" s="10"/>
      <c r="F3" s="10"/>
      <c r="G3" s="7"/>
      <c r="H3" s="7"/>
    </row>
    <row r="4" ht="4.5" customHeight="1">
      <c r="A4" s="11"/>
      <c r="B4" s="11"/>
      <c r="C4" s="11"/>
      <c r="D4" s="11"/>
      <c r="E4" s="11"/>
      <c r="F4" s="11"/>
      <c r="G4" s="11"/>
      <c r="H4" s="11"/>
    </row>
    <row r="5" ht="14.25" customHeight="1">
      <c r="A5" s="12" t="s">
        <v>6</v>
      </c>
      <c r="B5" s="12"/>
      <c r="C5" s="13"/>
      <c r="D5" s="13"/>
      <c r="E5" s="13"/>
      <c r="F5" s="13"/>
      <c r="G5" s="13"/>
      <c r="H5" s="13"/>
    </row>
    <row r="6" ht="35.25" customHeight="1">
      <c r="A6" s="14" t="s">
        <v>7</v>
      </c>
      <c r="B6" s="14" t="s">
        <v>8</v>
      </c>
      <c r="C6" s="14" t="s">
        <v>9</v>
      </c>
      <c r="D6" s="14" t="s">
        <v>10</v>
      </c>
      <c r="E6" s="14" t="s">
        <v>11</v>
      </c>
      <c r="F6" s="14" t="s">
        <v>12</v>
      </c>
      <c r="G6" s="14" t="s">
        <v>13</v>
      </c>
      <c r="H6" s="14" t="s">
        <v>14</v>
      </c>
    </row>
    <row r="7" ht="14.25" customHeight="1">
      <c r="A7" s="15" t="s">
        <v>15</v>
      </c>
      <c r="B7" s="16" t="s">
        <v>16</v>
      </c>
      <c r="C7" s="17">
        <v>46266.0</v>
      </c>
      <c r="D7" s="18">
        <v>0.375</v>
      </c>
      <c r="E7" s="19">
        <v>0.75</v>
      </c>
      <c r="F7" s="20" t="s">
        <v>17</v>
      </c>
      <c r="G7" s="21">
        <f t="shared" ref="G7:G10" si="1">MIN(MAX(IF(F7="YES", ((E7-D7) * 24) - 1, (E7-D7) * 24), 0), 8)</f>
        <v>8</v>
      </c>
      <c r="H7" s="22" t="s">
        <v>18</v>
      </c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15" t="s">
        <v>15</v>
      </c>
      <c r="B8" s="16" t="s">
        <v>16</v>
      </c>
      <c r="C8" s="17">
        <v>46267.0</v>
      </c>
      <c r="D8" s="24"/>
      <c r="E8" s="25"/>
      <c r="F8" s="20" t="s">
        <v>17</v>
      </c>
      <c r="G8" s="21">
        <f t="shared" si="1"/>
        <v>0</v>
      </c>
      <c r="H8" s="26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A9" s="15" t="s">
        <v>15</v>
      </c>
      <c r="B9" s="16" t="s">
        <v>16</v>
      </c>
      <c r="C9" s="17">
        <v>46268.0</v>
      </c>
      <c r="D9" s="24"/>
      <c r="E9" s="25"/>
      <c r="F9" s="20" t="s">
        <v>17</v>
      </c>
      <c r="G9" s="21">
        <f t="shared" si="1"/>
        <v>0</v>
      </c>
      <c r="H9" s="26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15.75" customHeight="1">
      <c r="A10" s="15" t="s">
        <v>15</v>
      </c>
      <c r="B10" s="16" t="s">
        <v>16</v>
      </c>
      <c r="C10" s="17">
        <v>46269.0</v>
      </c>
      <c r="D10" s="24"/>
      <c r="E10" s="25"/>
      <c r="F10" s="20" t="s">
        <v>17</v>
      </c>
      <c r="G10" s="21">
        <f t="shared" si="1"/>
        <v>0</v>
      </c>
      <c r="H10" s="27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4.25" customHeight="1">
      <c r="A11" s="28" t="s">
        <v>19</v>
      </c>
      <c r="B11" s="16" t="s">
        <v>16</v>
      </c>
      <c r="C11" s="29">
        <v>46270.0</v>
      </c>
      <c r="D11" s="30"/>
      <c r="E11" s="31"/>
      <c r="F11" s="32"/>
      <c r="G11" s="3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15.75" customHeight="1">
      <c r="A12" s="28" t="s">
        <v>19</v>
      </c>
      <c r="B12" s="16" t="s">
        <v>16</v>
      </c>
      <c r="C12" s="29">
        <v>46271.0</v>
      </c>
      <c r="D12" s="30"/>
      <c r="E12" s="31"/>
      <c r="F12" s="32"/>
      <c r="G12" s="33"/>
      <c r="H12" s="34"/>
      <c r="I12" s="35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4.25" customHeight="1">
      <c r="A13" s="15" t="s">
        <v>15</v>
      </c>
      <c r="B13" s="16" t="s">
        <v>16</v>
      </c>
      <c r="C13" s="17">
        <v>46272.0</v>
      </c>
      <c r="D13" s="24"/>
      <c r="E13" s="25"/>
      <c r="F13" s="20" t="s">
        <v>17</v>
      </c>
      <c r="G13" s="21">
        <f t="shared" ref="G13:G17" si="2">MIN(MAX(IF(F13="YES", ((E13-D13) * 24) - 1, (E13-D13) * 24), 0), 8)</f>
        <v>0</v>
      </c>
      <c r="H13" s="27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>
      <c r="A14" s="15" t="s">
        <v>15</v>
      </c>
      <c r="B14" s="16" t="s">
        <v>16</v>
      </c>
      <c r="C14" s="17">
        <v>46273.0</v>
      </c>
      <c r="D14" s="24"/>
      <c r="E14" s="25"/>
      <c r="F14" s="20" t="s">
        <v>17</v>
      </c>
      <c r="G14" s="21">
        <f t="shared" si="2"/>
        <v>0</v>
      </c>
      <c r="H14" s="26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15" t="s">
        <v>15</v>
      </c>
      <c r="B15" s="16" t="s">
        <v>16</v>
      </c>
      <c r="C15" s="17">
        <v>46274.0</v>
      </c>
      <c r="D15" s="24"/>
      <c r="E15" s="25"/>
      <c r="F15" s="20" t="s">
        <v>17</v>
      </c>
      <c r="G15" s="21">
        <f t="shared" si="2"/>
        <v>0</v>
      </c>
      <c r="H15" s="26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15" t="s">
        <v>15</v>
      </c>
      <c r="B16" s="16" t="s">
        <v>16</v>
      </c>
      <c r="C16" s="17">
        <v>46275.0</v>
      </c>
      <c r="D16" s="24"/>
      <c r="E16" s="25"/>
      <c r="F16" s="20" t="s">
        <v>17</v>
      </c>
      <c r="G16" s="21">
        <f t="shared" si="2"/>
        <v>0</v>
      </c>
      <c r="H16" s="26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15" t="s">
        <v>15</v>
      </c>
      <c r="B17" s="16" t="s">
        <v>16</v>
      </c>
      <c r="C17" s="17">
        <v>46276.0</v>
      </c>
      <c r="D17" s="24"/>
      <c r="E17" s="25"/>
      <c r="F17" s="20" t="s">
        <v>17</v>
      </c>
      <c r="G17" s="21">
        <f t="shared" si="2"/>
        <v>0</v>
      </c>
      <c r="H17" s="26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28" t="s">
        <v>19</v>
      </c>
      <c r="B18" s="16" t="s">
        <v>16</v>
      </c>
      <c r="C18" s="29">
        <v>46277.0</v>
      </c>
      <c r="D18" s="30"/>
      <c r="E18" s="31"/>
      <c r="F18" s="32"/>
      <c r="G18" s="33"/>
      <c r="H18" s="36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14.25" customHeight="1">
      <c r="A19" s="28" t="s">
        <v>19</v>
      </c>
      <c r="B19" s="16" t="s">
        <v>16</v>
      </c>
      <c r="C19" s="29">
        <v>46278.0</v>
      </c>
      <c r="D19" s="30"/>
      <c r="E19" s="31"/>
      <c r="F19" s="32"/>
      <c r="G19" s="33"/>
      <c r="H19" s="34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4.25" customHeight="1">
      <c r="A20" s="15" t="s">
        <v>15</v>
      </c>
      <c r="B20" s="16" t="s">
        <v>16</v>
      </c>
      <c r="C20" s="17">
        <v>46279.0</v>
      </c>
      <c r="D20" s="24"/>
      <c r="E20" s="25"/>
      <c r="F20" s="20" t="s">
        <v>17</v>
      </c>
      <c r="G20" s="21">
        <f t="shared" ref="G20:G24" si="3">MIN(MAX(IF(F20="YES", ((E20-D20) * 24) - 1, (E20-D20) * 24), 0), 8)</f>
        <v>0</v>
      </c>
      <c r="H20" s="27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5.75" customHeight="1">
      <c r="A21" s="15" t="s">
        <v>15</v>
      </c>
      <c r="B21" s="16" t="s">
        <v>16</v>
      </c>
      <c r="C21" s="17">
        <v>46280.0</v>
      </c>
      <c r="D21" s="24"/>
      <c r="E21" s="25"/>
      <c r="F21" s="20" t="s">
        <v>17</v>
      </c>
      <c r="G21" s="21">
        <f t="shared" si="3"/>
        <v>0</v>
      </c>
      <c r="H21" s="26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15.75" customHeight="1">
      <c r="A22" s="15" t="s">
        <v>15</v>
      </c>
      <c r="B22" s="16" t="s">
        <v>16</v>
      </c>
      <c r="C22" s="17">
        <v>46281.0</v>
      </c>
      <c r="D22" s="24"/>
      <c r="E22" s="25"/>
      <c r="F22" s="20" t="s">
        <v>17</v>
      </c>
      <c r="G22" s="21">
        <f t="shared" si="3"/>
        <v>0</v>
      </c>
      <c r="H22" s="26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5.75" customHeight="1">
      <c r="A23" s="15" t="s">
        <v>15</v>
      </c>
      <c r="B23" s="16" t="s">
        <v>16</v>
      </c>
      <c r="C23" s="17">
        <v>46282.0</v>
      </c>
      <c r="D23" s="24"/>
      <c r="E23" s="25"/>
      <c r="F23" s="20" t="s">
        <v>17</v>
      </c>
      <c r="G23" s="21">
        <f t="shared" si="3"/>
        <v>0</v>
      </c>
      <c r="H23" s="26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5.75" customHeight="1">
      <c r="A24" s="15" t="s">
        <v>15</v>
      </c>
      <c r="B24" s="16" t="s">
        <v>16</v>
      </c>
      <c r="C24" s="17">
        <v>46283.0</v>
      </c>
      <c r="D24" s="24"/>
      <c r="E24" s="25"/>
      <c r="F24" s="20" t="s">
        <v>17</v>
      </c>
      <c r="G24" s="21">
        <f t="shared" si="3"/>
        <v>0</v>
      </c>
      <c r="H24" s="26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5.75" customHeight="1">
      <c r="A25" s="28" t="s">
        <v>19</v>
      </c>
      <c r="B25" s="16" t="s">
        <v>16</v>
      </c>
      <c r="C25" s="29">
        <v>46284.0</v>
      </c>
      <c r="D25" s="30"/>
      <c r="E25" s="31"/>
      <c r="F25" s="32"/>
      <c r="G25" s="33"/>
      <c r="H25" s="36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>
      <c r="A26" s="28" t="s">
        <v>19</v>
      </c>
      <c r="B26" s="16" t="s">
        <v>16</v>
      </c>
      <c r="C26" s="29">
        <v>46285.0</v>
      </c>
      <c r="D26" s="30"/>
      <c r="E26" s="31"/>
      <c r="F26" s="32"/>
      <c r="G26" s="33"/>
      <c r="H26" s="36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5.0" customHeight="1">
      <c r="A27" s="15" t="s">
        <v>15</v>
      </c>
      <c r="B27" s="16" t="s">
        <v>16</v>
      </c>
      <c r="C27" s="17">
        <v>46286.0</v>
      </c>
      <c r="D27" s="24"/>
      <c r="E27" s="25"/>
      <c r="F27" s="20" t="s">
        <v>17</v>
      </c>
      <c r="G27" s="21">
        <f t="shared" ref="G27:G31" si="4">MIN(MAX(IF(F27="YES", ((E27-D27) * 24) - 1, (E27-D27) * 24), 0), 8)</f>
        <v>0</v>
      </c>
      <c r="H27" s="26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5.75" customHeight="1">
      <c r="A28" s="37" t="s">
        <v>15</v>
      </c>
      <c r="B28" s="16" t="s">
        <v>16</v>
      </c>
      <c r="C28" s="17">
        <v>46287.0</v>
      </c>
      <c r="D28" s="24"/>
      <c r="E28" s="25"/>
      <c r="F28" s="20" t="s">
        <v>17</v>
      </c>
      <c r="G28" s="21">
        <f t="shared" si="4"/>
        <v>0</v>
      </c>
      <c r="H28" s="26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5.75" customHeight="1">
      <c r="A29" s="15" t="s">
        <v>15</v>
      </c>
      <c r="B29" s="16" t="s">
        <v>16</v>
      </c>
      <c r="C29" s="17">
        <v>46288.0</v>
      </c>
      <c r="D29" s="24"/>
      <c r="E29" s="25"/>
      <c r="F29" s="20" t="s">
        <v>17</v>
      </c>
      <c r="G29" s="21">
        <f t="shared" si="4"/>
        <v>0</v>
      </c>
      <c r="H29" s="26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5.75" customHeight="1">
      <c r="A30" s="15" t="s">
        <v>15</v>
      </c>
      <c r="B30" s="16" t="s">
        <v>16</v>
      </c>
      <c r="C30" s="17">
        <v>46289.0</v>
      </c>
      <c r="D30" s="24"/>
      <c r="E30" s="25"/>
      <c r="F30" s="20" t="s">
        <v>17</v>
      </c>
      <c r="G30" s="21">
        <f t="shared" si="4"/>
        <v>0</v>
      </c>
      <c r="H30" s="26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>
      <c r="A31" s="15" t="s">
        <v>15</v>
      </c>
      <c r="B31" s="16" t="s">
        <v>16</v>
      </c>
      <c r="C31" s="17">
        <v>46290.0</v>
      </c>
      <c r="D31" s="24"/>
      <c r="E31" s="25"/>
      <c r="F31" s="20" t="s">
        <v>17</v>
      </c>
      <c r="G31" s="21">
        <f t="shared" si="4"/>
        <v>0</v>
      </c>
      <c r="H31" s="26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>
      <c r="A32" s="28" t="s">
        <v>19</v>
      </c>
      <c r="B32" s="16" t="s">
        <v>16</v>
      </c>
      <c r="C32" s="29">
        <v>46291.0</v>
      </c>
      <c r="D32" s="30"/>
      <c r="E32" s="31"/>
      <c r="F32" s="32"/>
      <c r="G32" s="33"/>
      <c r="H32" s="36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>
      <c r="A33" s="28" t="s">
        <v>19</v>
      </c>
      <c r="B33" s="16" t="s">
        <v>16</v>
      </c>
      <c r="C33" s="29">
        <v>46292.0</v>
      </c>
      <c r="D33" s="30"/>
      <c r="E33" s="31"/>
      <c r="F33" s="32"/>
      <c r="G33" s="33"/>
      <c r="H33" s="34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>
      <c r="A34" s="15" t="s">
        <v>15</v>
      </c>
      <c r="B34" s="16" t="s">
        <v>16</v>
      </c>
      <c r="C34" s="17">
        <v>46293.0</v>
      </c>
      <c r="D34" s="24"/>
      <c r="E34" s="25"/>
      <c r="F34" s="20" t="s">
        <v>17</v>
      </c>
      <c r="G34" s="21">
        <f t="shared" ref="G34:G36" si="5">MIN(MAX(IF(F34="YES", ((E34-D34) * 24) - 1, (E34-D34) * 24), 0), 8)</f>
        <v>0</v>
      </c>
      <c r="H34" s="27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ht="15.75" customHeight="1">
      <c r="A35" s="37" t="s">
        <v>15</v>
      </c>
      <c r="B35" s="16" t="s">
        <v>16</v>
      </c>
      <c r="C35" s="17">
        <v>46294.0</v>
      </c>
      <c r="D35" s="24"/>
      <c r="E35" s="25"/>
      <c r="F35" s="20" t="s">
        <v>17</v>
      </c>
      <c r="G35" s="21">
        <f t="shared" si="5"/>
        <v>0</v>
      </c>
      <c r="H35" s="26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ht="15.75" customHeight="1">
      <c r="A36" s="15" t="s">
        <v>15</v>
      </c>
      <c r="B36" s="16" t="s">
        <v>16</v>
      </c>
      <c r="C36" s="17">
        <v>46295.0</v>
      </c>
      <c r="D36" s="24"/>
      <c r="E36" s="25"/>
      <c r="F36" s="20" t="s">
        <v>17</v>
      </c>
      <c r="G36" s="21">
        <f t="shared" si="5"/>
        <v>0</v>
      </c>
      <c r="H36" s="26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ht="14.25" customHeight="1">
      <c r="A37" s="38"/>
      <c r="B37" s="38"/>
      <c r="C37" s="38"/>
      <c r="D37" s="11"/>
      <c r="E37" s="11"/>
      <c r="F37" s="11"/>
      <c r="G37" s="11"/>
      <c r="H37" s="11"/>
    </row>
    <row r="38" ht="14.25" customHeight="1">
      <c r="A38" s="39" t="s">
        <v>20</v>
      </c>
      <c r="B38" s="40" t="s">
        <v>21</v>
      </c>
      <c r="C38" s="41" t="s">
        <v>22</v>
      </c>
      <c r="D38" s="11"/>
      <c r="E38" s="11"/>
      <c r="F38" s="11"/>
      <c r="G38" s="11"/>
      <c r="H38" s="11"/>
    </row>
    <row r="39" ht="14.25" customHeight="1">
      <c r="A39" s="42" t="s">
        <v>23</v>
      </c>
      <c r="B39" s="43">
        <f>SUMIF($A$7:$A$36,"W*",$G$7:$G$36)</f>
        <v>8</v>
      </c>
      <c r="C39" s="44">
        <f>B39/8</f>
        <v>1</v>
      </c>
      <c r="D39" s="11"/>
      <c r="E39" s="11"/>
      <c r="F39" s="11"/>
      <c r="G39" s="11"/>
      <c r="H39" s="11"/>
    </row>
    <row r="40" ht="14.25" customHeight="1">
      <c r="A40" s="45" t="s">
        <v>24</v>
      </c>
      <c r="B40" s="46">
        <f t="shared" ref="B40:C40" si="6">SUM(B39)</f>
        <v>8</v>
      </c>
      <c r="C40" s="47">
        <f t="shared" si="6"/>
        <v>1</v>
      </c>
      <c r="D40" s="11"/>
      <c r="E40" s="11"/>
      <c r="F40" s="11"/>
      <c r="G40" s="11"/>
      <c r="H40" s="11"/>
    </row>
    <row r="41" ht="14.25" customHeight="1">
      <c r="A41" s="11"/>
      <c r="B41" s="11"/>
      <c r="C41" s="11"/>
      <c r="D41" s="11"/>
      <c r="E41" s="11"/>
      <c r="F41" s="11"/>
      <c r="G41" s="11"/>
      <c r="H41" s="11"/>
    </row>
    <row r="42" ht="14.25" customHeight="1">
      <c r="A42" s="11"/>
      <c r="B42" s="11"/>
      <c r="C42" s="11"/>
      <c r="D42" s="11"/>
      <c r="E42" s="11"/>
      <c r="F42" s="11"/>
      <c r="G42" s="11"/>
      <c r="H42" s="11"/>
    </row>
    <row r="43" ht="14.25" customHeight="1">
      <c r="A43" s="11"/>
      <c r="B43" s="48"/>
      <c r="D43" s="11"/>
      <c r="E43" s="11"/>
      <c r="F43" s="11"/>
      <c r="G43" s="11"/>
      <c r="H43" s="11"/>
    </row>
    <row r="44" ht="14.25" customHeight="1">
      <c r="A44" s="1"/>
      <c r="B44" s="49"/>
      <c r="C44" s="49"/>
      <c r="D44" s="50"/>
      <c r="E44" s="11"/>
      <c r="F44" s="11"/>
      <c r="G44" s="11"/>
      <c r="H44" s="11"/>
    </row>
    <row r="45" ht="14.25" customHeight="1">
      <c r="A45" s="1"/>
      <c r="B45" s="51"/>
      <c r="C45" s="52"/>
      <c r="D45" s="11"/>
      <c r="E45" s="11"/>
      <c r="F45" s="11"/>
      <c r="G45" s="11"/>
      <c r="H45" s="11"/>
    </row>
    <row r="46" ht="14.25" customHeight="1">
      <c r="A46" s="1"/>
      <c r="B46" s="53"/>
      <c r="D46" s="1"/>
      <c r="E46" s="11"/>
      <c r="F46" s="11"/>
      <c r="G46" s="11"/>
      <c r="H46" s="11"/>
    </row>
    <row r="47" ht="14.25" customHeight="1">
      <c r="A47" s="1"/>
      <c r="B47" s="54"/>
      <c r="C47" s="49"/>
      <c r="D47" s="50"/>
      <c r="E47" s="11"/>
      <c r="F47" s="11"/>
      <c r="G47" s="11"/>
      <c r="H47" s="11"/>
    </row>
    <row r="48" ht="14.25" customHeight="1">
      <c r="A48" s="1"/>
      <c r="B48" s="51" t="s">
        <v>9</v>
      </c>
      <c r="C48" s="52"/>
      <c r="D48" s="11"/>
      <c r="E48" s="11"/>
      <c r="F48" s="11"/>
      <c r="G48" s="11"/>
      <c r="H48" s="11"/>
    </row>
    <row r="49" ht="14.25" customHeight="1">
      <c r="A49" s="11"/>
      <c r="B49" s="11"/>
      <c r="C49" s="11"/>
      <c r="D49" s="11"/>
      <c r="E49" s="11"/>
      <c r="F49" s="11"/>
      <c r="G49" s="11"/>
      <c r="H49" s="11"/>
    </row>
    <row r="50" ht="14.25" customHeight="1">
      <c r="A50" s="11"/>
      <c r="B50" s="11"/>
      <c r="C50" s="11"/>
      <c r="D50" s="11"/>
      <c r="E50" s="11"/>
      <c r="F50" s="11"/>
      <c r="G50" s="11"/>
      <c r="H50" s="11"/>
    </row>
    <row r="51" ht="14.25" customHeight="1">
      <c r="E51" s="11"/>
      <c r="F51" s="11"/>
      <c r="G51" s="11"/>
      <c r="H51" s="11"/>
    </row>
    <row r="52" ht="14.25" customHeight="1">
      <c r="E52" s="11"/>
      <c r="F52" s="11"/>
      <c r="G52" s="11"/>
      <c r="H52" s="11"/>
    </row>
    <row r="53" ht="14.25" customHeight="1">
      <c r="E53" s="11"/>
      <c r="F53" s="11"/>
      <c r="G53" s="11"/>
      <c r="H53" s="11"/>
    </row>
    <row r="54" ht="14.25" customHeight="1">
      <c r="E54" s="11"/>
      <c r="F54" s="11"/>
      <c r="G54" s="11"/>
      <c r="H54" s="11"/>
    </row>
    <row r="55" ht="14.25" customHeight="1">
      <c r="E55" s="11"/>
      <c r="F55" s="11"/>
      <c r="G55" s="11"/>
      <c r="H55" s="11"/>
    </row>
    <row r="56" ht="14.25" customHeight="1">
      <c r="E56" s="11"/>
      <c r="F56" s="11"/>
      <c r="G56" s="11"/>
      <c r="H56" s="11"/>
    </row>
    <row r="57" ht="14.25" customHeight="1">
      <c r="A57" s="11"/>
      <c r="B57" s="11"/>
      <c r="C57" s="11"/>
      <c r="D57" s="11"/>
      <c r="E57" s="11"/>
      <c r="F57" s="11"/>
      <c r="G57" s="11"/>
      <c r="H57" s="11"/>
    </row>
    <row r="58" ht="14.25" customHeight="1">
      <c r="A58" s="11"/>
      <c r="B58" s="11"/>
      <c r="C58" s="11"/>
      <c r="D58" s="11"/>
      <c r="E58" s="11"/>
      <c r="F58" s="11"/>
      <c r="G58" s="11"/>
      <c r="H58" s="11"/>
    </row>
    <row r="59" ht="14.25" customHeight="1">
      <c r="A59" s="11"/>
      <c r="B59" s="11"/>
      <c r="C59" s="11"/>
      <c r="D59" s="11"/>
      <c r="E59" s="11"/>
      <c r="F59" s="11"/>
      <c r="G59" s="11"/>
      <c r="H59" s="11"/>
    </row>
    <row r="60" ht="14.25" customHeight="1">
      <c r="A60" s="11"/>
      <c r="B60" s="11"/>
      <c r="C60" s="11"/>
      <c r="D60" s="11"/>
      <c r="E60" s="11"/>
      <c r="F60" s="11"/>
      <c r="G60" s="11"/>
      <c r="H60" s="11"/>
    </row>
    <row r="61" ht="14.25" customHeight="1">
      <c r="A61" s="11"/>
      <c r="B61" s="11"/>
      <c r="C61" s="11"/>
      <c r="D61" s="11"/>
      <c r="E61" s="11"/>
      <c r="F61" s="11"/>
      <c r="G61" s="11"/>
      <c r="H61" s="11"/>
    </row>
    <row r="62" ht="14.25" customHeight="1">
      <c r="A62" s="11"/>
      <c r="B62" s="11"/>
      <c r="C62" s="11"/>
      <c r="D62" s="11"/>
      <c r="E62" s="11"/>
      <c r="F62" s="11"/>
      <c r="G62" s="11"/>
      <c r="H62" s="11"/>
    </row>
    <row r="63" ht="14.25" customHeight="1">
      <c r="A63" s="11"/>
      <c r="B63" s="11"/>
      <c r="C63" s="11"/>
      <c r="D63" s="11"/>
      <c r="E63" s="11"/>
      <c r="F63" s="11"/>
      <c r="G63" s="11"/>
      <c r="H63" s="11"/>
    </row>
    <row r="64" ht="14.25" customHeight="1">
      <c r="A64" s="11"/>
      <c r="B64" s="11"/>
      <c r="C64" s="11"/>
      <c r="D64" s="11"/>
      <c r="E64" s="11"/>
      <c r="F64" s="11"/>
      <c r="G64" s="11"/>
      <c r="H64" s="11"/>
    </row>
    <row r="65" ht="14.25" customHeight="1">
      <c r="A65" s="11"/>
      <c r="B65" s="11"/>
      <c r="C65" s="11"/>
      <c r="D65" s="11"/>
      <c r="E65" s="11"/>
      <c r="F65" s="11"/>
      <c r="G65" s="11"/>
      <c r="H65" s="11"/>
    </row>
    <row r="66" ht="14.25" customHeight="1">
      <c r="A66" s="11"/>
      <c r="B66" s="11"/>
      <c r="C66" s="11"/>
      <c r="D66" s="11"/>
      <c r="E66" s="11"/>
      <c r="F66" s="11"/>
      <c r="G66" s="11"/>
      <c r="H66" s="11"/>
    </row>
    <row r="67" ht="14.25" customHeight="1">
      <c r="A67" s="11"/>
      <c r="B67" s="11"/>
      <c r="C67" s="11"/>
      <c r="D67" s="11"/>
      <c r="E67" s="11"/>
      <c r="F67" s="11"/>
      <c r="G67" s="11"/>
      <c r="H67" s="11"/>
    </row>
    <row r="68" ht="14.25" customHeight="1">
      <c r="A68" s="11"/>
      <c r="B68" s="11"/>
      <c r="C68" s="11"/>
      <c r="D68" s="11"/>
      <c r="E68" s="11"/>
      <c r="F68" s="11"/>
      <c r="G68" s="11"/>
      <c r="H68" s="11"/>
    </row>
    <row r="69" ht="14.25" customHeight="1">
      <c r="A69" s="11"/>
      <c r="B69" s="11"/>
      <c r="C69" s="11"/>
      <c r="D69" s="11"/>
      <c r="E69" s="11"/>
      <c r="F69" s="11"/>
      <c r="G69" s="11"/>
      <c r="H69" s="11"/>
    </row>
    <row r="70" ht="14.25" customHeight="1">
      <c r="A70" s="11"/>
      <c r="B70" s="11"/>
      <c r="C70" s="11"/>
      <c r="D70" s="11"/>
      <c r="E70" s="11"/>
      <c r="F70" s="11"/>
      <c r="G70" s="11"/>
      <c r="H70" s="11"/>
    </row>
    <row r="71" ht="14.25" customHeight="1">
      <c r="A71" s="11"/>
      <c r="B71" s="11"/>
      <c r="C71" s="11"/>
      <c r="D71" s="11"/>
      <c r="E71" s="11"/>
      <c r="F71" s="11"/>
      <c r="G71" s="11"/>
      <c r="H71" s="11"/>
    </row>
    <row r="72" ht="14.25" customHeight="1">
      <c r="A72" s="11"/>
      <c r="B72" s="11"/>
      <c r="C72" s="11"/>
      <c r="D72" s="11"/>
      <c r="E72" s="11"/>
      <c r="F72" s="11"/>
      <c r="G72" s="11"/>
      <c r="H72" s="11"/>
    </row>
    <row r="73" ht="14.25" customHeight="1">
      <c r="A73" s="11"/>
      <c r="B73" s="11"/>
      <c r="C73" s="11"/>
      <c r="D73" s="11"/>
      <c r="E73" s="11"/>
      <c r="F73" s="11"/>
      <c r="G73" s="11"/>
      <c r="H73" s="11"/>
    </row>
    <row r="74" ht="14.25" customHeight="1">
      <c r="A74" s="11"/>
      <c r="B74" s="11"/>
      <c r="C74" s="11"/>
      <c r="D74" s="11"/>
      <c r="E74" s="11"/>
      <c r="F74" s="11"/>
      <c r="G74" s="11"/>
      <c r="H74" s="11"/>
    </row>
    <row r="75" ht="14.25" customHeight="1">
      <c r="A75" s="11"/>
      <c r="B75" s="11"/>
      <c r="C75" s="11"/>
      <c r="D75" s="11"/>
      <c r="E75" s="11"/>
      <c r="F75" s="11"/>
      <c r="G75" s="11"/>
      <c r="H75" s="11"/>
    </row>
    <row r="76" ht="14.25" customHeight="1">
      <c r="A76" s="11"/>
      <c r="B76" s="11"/>
      <c r="C76" s="11"/>
      <c r="D76" s="11"/>
      <c r="E76" s="11"/>
      <c r="F76" s="11"/>
      <c r="G76" s="11"/>
      <c r="H76" s="11"/>
    </row>
    <row r="77" ht="14.25" customHeight="1">
      <c r="A77" s="11"/>
      <c r="B77" s="11"/>
      <c r="C77" s="11"/>
      <c r="D77" s="11"/>
      <c r="E77" s="11"/>
      <c r="F77" s="11"/>
      <c r="G77" s="11"/>
      <c r="H77" s="11"/>
    </row>
    <row r="78" ht="14.25" customHeight="1">
      <c r="A78" s="11"/>
      <c r="B78" s="11"/>
      <c r="C78" s="11"/>
      <c r="D78" s="11"/>
      <c r="E78" s="11"/>
      <c r="F78" s="11"/>
      <c r="G78" s="11"/>
      <c r="H78" s="11"/>
    </row>
    <row r="79" ht="14.25" customHeight="1">
      <c r="A79" s="11"/>
      <c r="B79" s="11"/>
      <c r="C79" s="11"/>
      <c r="D79" s="11"/>
      <c r="E79" s="11"/>
      <c r="F79" s="11"/>
      <c r="G79" s="11"/>
      <c r="H79" s="11"/>
    </row>
    <row r="80" ht="14.25" customHeight="1">
      <c r="A80" s="11"/>
      <c r="B80" s="11"/>
      <c r="C80" s="11"/>
      <c r="D80" s="11"/>
      <c r="E80" s="11"/>
      <c r="F80" s="11"/>
      <c r="G80" s="11"/>
      <c r="H80" s="11"/>
    </row>
    <row r="81" ht="14.25" customHeight="1">
      <c r="A81" s="11"/>
      <c r="B81" s="11"/>
      <c r="C81" s="11"/>
      <c r="D81" s="11"/>
      <c r="E81" s="11"/>
      <c r="F81" s="11"/>
      <c r="G81" s="11"/>
      <c r="H81" s="11"/>
    </row>
    <row r="82" ht="14.25" customHeight="1">
      <c r="A82" s="11"/>
      <c r="B82" s="11"/>
      <c r="C82" s="11"/>
      <c r="D82" s="11"/>
      <c r="E82" s="11"/>
      <c r="F82" s="11"/>
      <c r="G82" s="11"/>
      <c r="H82" s="11"/>
    </row>
    <row r="83" ht="14.25" customHeight="1">
      <c r="A83" s="11"/>
      <c r="B83" s="11"/>
      <c r="C83" s="11"/>
      <c r="D83" s="11"/>
      <c r="E83" s="11"/>
      <c r="F83" s="11"/>
      <c r="G83" s="11"/>
      <c r="H83" s="11"/>
    </row>
    <row r="84" ht="14.25" customHeight="1">
      <c r="A84" s="11"/>
      <c r="B84" s="11"/>
      <c r="C84" s="11"/>
      <c r="D84" s="11"/>
      <c r="E84" s="11"/>
      <c r="F84" s="11"/>
      <c r="G84" s="11"/>
      <c r="H84" s="11"/>
    </row>
    <row r="85" ht="14.25" customHeight="1">
      <c r="A85" s="11"/>
      <c r="B85" s="11"/>
      <c r="C85" s="11"/>
      <c r="D85" s="11"/>
      <c r="E85" s="11"/>
      <c r="F85" s="11"/>
      <c r="G85" s="11"/>
      <c r="H85" s="11"/>
    </row>
    <row r="86" ht="14.25" customHeight="1">
      <c r="A86" s="11"/>
      <c r="B86" s="11"/>
      <c r="C86" s="11"/>
      <c r="D86" s="11"/>
      <c r="E86" s="11"/>
      <c r="F86" s="11"/>
      <c r="G86" s="11"/>
      <c r="H86" s="11"/>
    </row>
    <row r="87" ht="14.25" customHeight="1">
      <c r="A87" s="11"/>
      <c r="B87" s="11"/>
      <c r="C87" s="11"/>
      <c r="D87" s="11"/>
      <c r="E87" s="11"/>
      <c r="F87" s="11"/>
      <c r="G87" s="11"/>
      <c r="H87" s="11"/>
    </row>
    <row r="88" ht="14.25" customHeight="1">
      <c r="A88" s="11"/>
      <c r="B88" s="11"/>
      <c r="C88" s="11"/>
      <c r="D88" s="11"/>
      <c r="E88" s="11"/>
      <c r="F88" s="11"/>
      <c r="G88" s="11"/>
      <c r="H88" s="11"/>
    </row>
    <row r="89" ht="14.25" customHeight="1">
      <c r="A89" s="11"/>
      <c r="B89" s="11"/>
      <c r="C89" s="11"/>
      <c r="D89" s="11"/>
      <c r="E89" s="11"/>
      <c r="F89" s="11"/>
      <c r="G89" s="11"/>
      <c r="H89" s="11"/>
    </row>
    <row r="90" ht="14.25" customHeight="1">
      <c r="A90" s="11"/>
      <c r="B90" s="11"/>
      <c r="C90" s="11"/>
      <c r="D90" s="11"/>
      <c r="E90" s="11"/>
      <c r="F90" s="11"/>
      <c r="G90" s="11"/>
      <c r="H90" s="11"/>
    </row>
    <row r="91" ht="14.25" customHeight="1">
      <c r="A91" s="11"/>
      <c r="B91" s="11"/>
      <c r="C91" s="11"/>
      <c r="D91" s="11"/>
      <c r="E91" s="11"/>
      <c r="F91" s="11"/>
      <c r="G91" s="11"/>
      <c r="H91" s="11"/>
    </row>
    <row r="92" ht="14.25" customHeight="1">
      <c r="A92" s="11"/>
      <c r="B92" s="11"/>
      <c r="C92" s="11"/>
      <c r="D92" s="11"/>
      <c r="E92" s="11"/>
      <c r="F92" s="11"/>
      <c r="G92" s="11"/>
      <c r="H92" s="11"/>
    </row>
    <row r="93" ht="14.25" customHeight="1">
      <c r="A93" s="11"/>
      <c r="B93" s="11"/>
      <c r="C93" s="11"/>
      <c r="D93" s="11"/>
      <c r="E93" s="11"/>
      <c r="F93" s="11"/>
      <c r="G93" s="11"/>
      <c r="H93" s="11"/>
    </row>
    <row r="94" ht="14.25" customHeight="1">
      <c r="A94" s="11"/>
      <c r="B94" s="11"/>
      <c r="C94" s="11"/>
      <c r="D94" s="11"/>
      <c r="E94" s="11"/>
      <c r="F94" s="11"/>
      <c r="G94" s="11"/>
      <c r="H94" s="11"/>
    </row>
    <row r="95" ht="14.25" customHeight="1">
      <c r="A95" s="11"/>
      <c r="B95" s="11"/>
      <c r="C95" s="11"/>
      <c r="D95" s="11"/>
      <c r="E95" s="11"/>
      <c r="F95" s="11"/>
      <c r="G95" s="11"/>
      <c r="H95" s="11"/>
    </row>
    <row r="96" ht="14.25" customHeight="1">
      <c r="A96" s="11"/>
      <c r="B96" s="11"/>
      <c r="C96" s="11"/>
      <c r="D96" s="11"/>
      <c r="E96" s="11"/>
      <c r="F96" s="11"/>
      <c r="G96" s="11"/>
      <c r="H96" s="11"/>
    </row>
    <row r="97" ht="14.25" customHeight="1">
      <c r="A97" s="11"/>
      <c r="B97" s="11"/>
      <c r="C97" s="11"/>
      <c r="D97" s="11"/>
      <c r="E97" s="11"/>
      <c r="F97" s="11"/>
      <c r="G97" s="11"/>
      <c r="H97" s="11"/>
    </row>
    <row r="98" ht="14.25" customHeight="1">
      <c r="A98" s="11"/>
      <c r="B98" s="11"/>
      <c r="C98" s="11"/>
      <c r="D98" s="11"/>
      <c r="E98" s="11"/>
      <c r="F98" s="11"/>
      <c r="G98" s="11"/>
      <c r="H98" s="11"/>
    </row>
    <row r="99" ht="14.25" customHeight="1">
      <c r="A99" s="11"/>
      <c r="B99" s="11"/>
      <c r="C99" s="11"/>
      <c r="D99" s="11"/>
      <c r="E99" s="11"/>
      <c r="F99" s="11"/>
      <c r="G99" s="11"/>
      <c r="H99" s="11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</row>
    <row r="233" ht="14.25" customHeight="1">
      <c r="A233" s="11"/>
      <c r="B233" s="11"/>
      <c r="C233" s="11"/>
      <c r="D233" s="11"/>
      <c r="E233" s="11"/>
      <c r="F233" s="11"/>
      <c r="G233" s="11"/>
      <c r="H233" s="11"/>
    </row>
    <row r="234" ht="14.25" customHeight="1">
      <c r="A234" s="11"/>
      <c r="B234" s="11"/>
      <c r="C234" s="11"/>
      <c r="D234" s="11"/>
      <c r="E234" s="11"/>
      <c r="F234" s="11"/>
      <c r="G234" s="11"/>
      <c r="H234" s="11"/>
    </row>
    <row r="235" ht="14.25" customHeight="1">
      <c r="A235" s="11"/>
      <c r="B235" s="11"/>
      <c r="C235" s="11"/>
      <c r="D235" s="11"/>
      <c r="E235" s="11"/>
      <c r="F235" s="11"/>
      <c r="G235" s="11"/>
      <c r="H235" s="11"/>
    </row>
    <row r="236" ht="14.25" customHeight="1">
      <c r="A236" s="11"/>
      <c r="B236" s="11"/>
      <c r="C236" s="11"/>
      <c r="D236" s="11"/>
      <c r="E236" s="11"/>
      <c r="F236" s="11"/>
      <c r="G236" s="11"/>
      <c r="H236" s="11"/>
    </row>
    <row r="237" ht="14.25" customHeight="1">
      <c r="A237" s="11"/>
      <c r="B237" s="11"/>
      <c r="C237" s="11"/>
      <c r="D237" s="11"/>
      <c r="E237" s="11"/>
      <c r="F237" s="11"/>
      <c r="G237" s="11"/>
      <c r="H237" s="11"/>
    </row>
    <row r="238" ht="14.25" customHeight="1">
      <c r="A238" s="11"/>
      <c r="B238" s="11"/>
      <c r="C238" s="11"/>
      <c r="D238" s="11"/>
      <c r="E238" s="11"/>
      <c r="F238" s="11"/>
      <c r="G238" s="11"/>
      <c r="H238" s="11"/>
    </row>
    <row r="239" ht="14.25" customHeight="1">
      <c r="A239" s="11"/>
      <c r="B239" s="11"/>
      <c r="C239" s="11"/>
      <c r="D239" s="11"/>
      <c r="E239" s="11"/>
      <c r="F239" s="11"/>
      <c r="G239" s="11"/>
      <c r="H239" s="11"/>
    </row>
    <row r="240" ht="14.25" customHeight="1">
      <c r="A240" s="11"/>
      <c r="B240" s="11"/>
      <c r="C240" s="11"/>
      <c r="D240" s="11"/>
      <c r="E240" s="11"/>
      <c r="F240" s="11"/>
      <c r="G240" s="11"/>
      <c r="H240" s="11"/>
    </row>
    <row r="241" ht="14.25" customHeight="1">
      <c r="A241" s="11"/>
      <c r="B241" s="11"/>
      <c r="C241" s="11"/>
      <c r="D241" s="11"/>
      <c r="E241" s="11"/>
      <c r="F241" s="11"/>
      <c r="G241" s="11"/>
      <c r="H241" s="11"/>
    </row>
    <row r="242" ht="14.25" customHeight="1">
      <c r="A242" s="11"/>
      <c r="B242" s="11"/>
      <c r="C242" s="11"/>
      <c r="D242" s="11"/>
      <c r="E242" s="11"/>
      <c r="F242" s="11"/>
      <c r="G242" s="11"/>
      <c r="H242" s="11"/>
    </row>
    <row r="243" ht="14.25" customHeight="1">
      <c r="A243" s="11"/>
      <c r="B243" s="11"/>
      <c r="C243" s="11"/>
      <c r="D243" s="11"/>
      <c r="E243" s="11"/>
      <c r="F243" s="11"/>
      <c r="G243" s="11"/>
      <c r="H243" s="11"/>
    </row>
    <row r="244" ht="14.25" customHeight="1">
      <c r="A244" s="11"/>
      <c r="B244" s="11"/>
      <c r="C244" s="11"/>
      <c r="D244" s="11"/>
      <c r="E244" s="11"/>
      <c r="F244" s="11"/>
      <c r="G244" s="11"/>
      <c r="H244" s="11"/>
    </row>
    <row r="245" ht="14.25" customHeight="1">
      <c r="A245" s="11"/>
      <c r="B245" s="11"/>
      <c r="C245" s="11"/>
      <c r="D245" s="11"/>
      <c r="E245" s="11"/>
      <c r="F245" s="11"/>
      <c r="G245" s="11"/>
      <c r="H245" s="11"/>
    </row>
    <row r="246" ht="14.25" customHeight="1">
      <c r="A246" s="11"/>
      <c r="B246" s="11"/>
      <c r="C246" s="11"/>
      <c r="D246" s="11"/>
      <c r="E246" s="11"/>
      <c r="F246" s="11"/>
      <c r="G246" s="11"/>
      <c r="H246" s="11"/>
    </row>
    <row r="247" ht="14.25" customHeight="1">
      <c r="A247" s="11"/>
      <c r="B247" s="11"/>
      <c r="C247" s="11"/>
      <c r="D247" s="11"/>
      <c r="E247" s="11"/>
      <c r="F247" s="11"/>
      <c r="G247" s="11"/>
      <c r="H247" s="11"/>
    </row>
    <row r="248" ht="14.25" customHeight="1">
      <c r="A248" s="11"/>
      <c r="B248" s="11"/>
      <c r="C248" s="11"/>
      <c r="D248" s="11"/>
      <c r="E248" s="11"/>
      <c r="F248" s="11"/>
      <c r="G248" s="11"/>
      <c r="H248" s="11"/>
    </row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6:$H$37"/>
  <mergeCells count="6">
    <mergeCell ref="B2:H2"/>
    <mergeCell ref="B43:C44"/>
    <mergeCell ref="B45:C45"/>
    <mergeCell ref="B46:C46"/>
    <mergeCell ref="B47:C47"/>
    <mergeCell ref="B48:C48"/>
  </mergeCells>
  <conditionalFormatting sqref="A7:H36">
    <cfRule type="expression" dxfId="0" priority="1" stopIfTrue="1">
      <formula>OR(LEFT($A7, 2)="H1", LEFT($A7, 2)="L1", LEFT($A7, 2)="L2")</formula>
    </cfRule>
  </conditionalFormatting>
  <conditionalFormatting sqref="G7:G36">
    <cfRule type="expression" dxfId="1" priority="2" stopIfTrue="1">
      <formula>OR(LEFT($A7, 2)="W1")</formula>
    </cfRule>
  </conditionalFormatting>
  <dataValidations>
    <dataValidation type="list" allowBlank="1" showErrorMessage="1" sqref="F7:F36">
      <formula1>"YES,NO"</formula1>
    </dataValidation>
    <dataValidation type="list" allowBlank="1" showErrorMessage="1" sqref="A7:A36">
      <formula1>"H1 - Holiday,W1 - Test Execution,L1 - Annual Leave,L2 - Sick Leave"</formula1>
    </dataValidation>
    <dataValidation type="list" allowBlank="1" showErrorMessage="1" sqref="B7:B36">
      <formula1>"Junior QA,Senior QA,Technical Specialist QA"</formula1>
    </dataValidation>
  </dataValidations>
  <printOptions/>
  <pageMargins bottom="0.13" footer="0.0" header="0.0" left="0.7" right="0.7" top="0.25"/>
  <pageSetup paperSize="9" scale="6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19.63"/>
    <col customWidth="1" min="2" max="2" width="22.0"/>
    <col customWidth="1" min="3" max="3" width="16.13"/>
    <col customWidth="1" min="4" max="4" width="11.88"/>
    <col customWidth="1" min="5" max="6" width="12.88"/>
    <col customWidth="1" min="7" max="7" width="11.88"/>
    <col customWidth="1" min="8" max="8" width="68.0"/>
  </cols>
  <sheetData>
    <row r="1" ht="75.0" customHeight="1">
      <c r="A1" s="1"/>
      <c r="B1" s="1"/>
      <c r="C1" s="2" t="s">
        <v>25</v>
      </c>
      <c r="D1" s="1"/>
      <c r="E1" s="1"/>
      <c r="F1" s="1"/>
      <c r="G1" s="1"/>
      <c r="H1" s="1"/>
    </row>
    <row r="2">
      <c r="A2" s="3" t="s">
        <v>1</v>
      </c>
      <c r="B2" s="4" t="s">
        <v>2</v>
      </c>
      <c r="C2" s="5"/>
      <c r="D2" s="5"/>
      <c r="E2" s="5"/>
      <c r="F2" s="5"/>
      <c r="G2" s="5"/>
      <c r="H2" s="6"/>
    </row>
    <row r="3">
      <c r="A3" s="7" t="s">
        <v>3</v>
      </c>
      <c r="B3" s="8" t="s">
        <v>4</v>
      </c>
      <c r="C3" s="7" t="s">
        <v>5</v>
      </c>
      <c r="D3" s="9" t="s">
        <v>4</v>
      </c>
      <c r="E3" s="10"/>
      <c r="F3" s="10"/>
      <c r="G3" s="7"/>
      <c r="H3" s="7"/>
    </row>
    <row r="4" ht="4.5" customHeight="1">
      <c r="A4" s="11"/>
      <c r="B4" s="11"/>
      <c r="C4" s="11"/>
      <c r="D4" s="11"/>
      <c r="E4" s="11"/>
      <c r="F4" s="11"/>
      <c r="G4" s="11"/>
      <c r="H4" s="11"/>
    </row>
    <row r="5" ht="14.25" customHeight="1">
      <c r="A5" s="12" t="s">
        <v>6</v>
      </c>
      <c r="B5" s="12"/>
      <c r="C5" s="13"/>
      <c r="D5" s="13"/>
      <c r="E5" s="13"/>
      <c r="F5" s="13"/>
      <c r="G5" s="13"/>
      <c r="H5" s="13"/>
    </row>
    <row r="6" ht="35.25" customHeight="1">
      <c r="A6" s="14" t="s">
        <v>7</v>
      </c>
      <c r="B6" s="14" t="s">
        <v>8</v>
      </c>
      <c r="C6" s="14" t="s">
        <v>9</v>
      </c>
      <c r="D6" s="14" t="s">
        <v>10</v>
      </c>
      <c r="E6" s="14" t="s">
        <v>11</v>
      </c>
      <c r="F6" s="14" t="s">
        <v>12</v>
      </c>
      <c r="G6" s="14" t="s">
        <v>13</v>
      </c>
      <c r="H6" s="14" t="s">
        <v>14</v>
      </c>
    </row>
    <row r="7">
      <c r="A7" s="55" t="s">
        <v>15</v>
      </c>
      <c r="B7" s="16" t="s">
        <v>16</v>
      </c>
      <c r="C7" s="56">
        <v>46266.0</v>
      </c>
      <c r="D7" s="57">
        <v>0.7708333333333334</v>
      </c>
      <c r="E7" s="58">
        <v>0.8333333333333334</v>
      </c>
      <c r="F7" s="59" t="s">
        <v>26</v>
      </c>
      <c r="G7" s="21">
        <f t="shared" ref="G7:G20" si="1">MAX(IF(F7="YES", ((E7-D7) * 24) - 1, (E7-D7) * 24), 0)</f>
        <v>1.5</v>
      </c>
      <c r="H7" s="60" t="s">
        <v>18</v>
      </c>
    </row>
    <row r="8">
      <c r="A8" s="55" t="s">
        <v>15</v>
      </c>
      <c r="B8" s="16" t="s">
        <v>16</v>
      </c>
      <c r="C8" s="61"/>
      <c r="D8" s="62"/>
      <c r="E8" s="63"/>
      <c r="F8" s="59" t="s">
        <v>26</v>
      </c>
      <c r="G8" s="21">
        <f t="shared" si="1"/>
        <v>0</v>
      </c>
      <c r="H8" s="60"/>
    </row>
    <row r="9" ht="15.75" customHeight="1">
      <c r="A9" s="55" t="s">
        <v>15</v>
      </c>
      <c r="B9" s="16" t="s">
        <v>16</v>
      </c>
      <c r="C9" s="61"/>
      <c r="D9" s="62"/>
      <c r="E9" s="63"/>
      <c r="F9" s="59" t="s">
        <v>26</v>
      </c>
      <c r="G9" s="21">
        <f t="shared" si="1"/>
        <v>0</v>
      </c>
      <c r="H9" s="64"/>
    </row>
    <row r="10" ht="14.25" customHeight="1">
      <c r="A10" s="55" t="s">
        <v>15</v>
      </c>
      <c r="B10" s="16" t="s">
        <v>16</v>
      </c>
      <c r="C10" s="61"/>
      <c r="D10" s="62"/>
      <c r="E10" s="63"/>
      <c r="F10" s="59" t="s">
        <v>26</v>
      </c>
      <c r="G10" s="21">
        <f t="shared" si="1"/>
        <v>0</v>
      </c>
      <c r="H10" s="64"/>
    </row>
    <row r="11">
      <c r="A11" s="55" t="s">
        <v>15</v>
      </c>
      <c r="B11" s="16" t="s">
        <v>16</v>
      </c>
      <c r="C11" s="61"/>
      <c r="D11" s="62"/>
      <c r="E11" s="63"/>
      <c r="F11" s="59" t="s">
        <v>26</v>
      </c>
      <c r="G11" s="21">
        <f t="shared" si="1"/>
        <v>0</v>
      </c>
      <c r="H11" s="60"/>
    </row>
    <row r="12">
      <c r="A12" s="55" t="s">
        <v>15</v>
      </c>
      <c r="B12" s="16" t="s">
        <v>16</v>
      </c>
      <c r="C12" s="61"/>
      <c r="D12" s="62"/>
      <c r="E12" s="63"/>
      <c r="F12" s="59" t="s">
        <v>26</v>
      </c>
      <c r="G12" s="21">
        <f t="shared" si="1"/>
        <v>0</v>
      </c>
      <c r="H12" s="60"/>
    </row>
    <row r="13">
      <c r="A13" s="55" t="s">
        <v>15</v>
      </c>
      <c r="B13" s="16" t="s">
        <v>16</v>
      </c>
      <c r="C13" s="61"/>
      <c r="D13" s="62"/>
      <c r="E13" s="63"/>
      <c r="F13" s="59" t="s">
        <v>26</v>
      </c>
      <c r="G13" s="21">
        <f t="shared" si="1"/>
        <v>0</v>
      </c>
      <c r="H13" s="60"/>
    </row>
    <row r="14">
      <c r="A14" s="55" t="s">
        <v>15</v>
      </c>
      <c r="B14" s="16" t="s">
        <v>16</v>
      </c>
      <c r="C14" s="61"/>
      <c r="D14" s="62"/>
      <c r="E14" s="63"/>
      <c r="F14" s="59" t="s">
        <v>26</v>
      </c>
      <c r="G14" s="21">
        <f t="shared" si="1"/>
        <v>0</v>
      </c>
      <c r="H14" s="60"/>
    </row>
    <row r="15">
      <c r="A15" s="55" t="s">
        <v>15</v>
      </c>
      <c r="B15" s="16" t="s">
        <v>16</v>
      </c>
      <c r="C15" s="61"/>
      <c r="D15" s="62"/>
      <c r="E15" s="63"/>
      <c r="F15" s="59" t="s">
        <v>26</v>
      </c>
      <c r="G15" s="21">
        <f t="shared" si="1"/>
        <v>0</v>
      </c>
      <c r="H15" s="60"/>
    </row>
    <row r="16">
      <c r="A16" s="55" t="s">
        <v>15</v>
      </c>
      <c r="B16" s="16" t="s">
        <v>16</v>
      </c>
      <c r="C16" s="61"/>
      <c r="D16" s="62"/>
      <c r="E16" s="63"/>
      <c r="F16" s="59" t="s">
        <v>26</v>
      </c>
      <c r="G16" s="21">
        <f t="shared" si="1"/>
        <v>0</v>
      </c>
      <c r="H16" s="60"/>
    </row>
    <row r="17">
      <c r="A17" s="55" t="s">
        <v>15</v>
      </c>
      <c r="B17" s="16" t="s">
        <v>16</v>
      </c>
      <c r="C17" s="61"/>
      <c r="D17" s="62"/>
      <c r="E17" s="63"/>
      <c r="F17" s="59" t="s">
        <v>26</v>
      </c>
      <c r="G17" s="21">
        <f t="shared" si="1"/>
        <v>0</v>
      </c>
      <c r="H17" s="60"/>
    </row>
    <row r="18">
      <c r="A18" s="55" t="s">
        <v>15</v>
      </c>
      <c r="B18" s="16" t="s">
        <v>16</v>
      </c>
      <c r="C18" s="61"/>
      <c r="D18" s="62"/>
      <c r="E18" s="63"/>
      <c r="F18" s="59" t="s">
        <v>26</v>
      </c>
      <c r="G18" s="21">
        <f t="shared" si="1"/>
        <v>0</v>
      </c>
      <c r="H18" s="60"/>
    </row>
    <row r="19">
      <c r="A19" s="55" t="s">
        <v>15</v>
      </c>
      <c r="B19" s="16" t="s">
        <v>16</v>
      </c>
      <c r="C19" s="61"/>
      <c r="D19" s="62"/>
      <c r="E19" s="63"/>
      <c r="F19" s="59" t="s">
        <v>26</v>
      </c>
      <c r="G19" s="21">
        <f t="shared" si="1"/>
        <v>0</v>
      </c>
      <c r="H19" s="60"/>
    </row>
    <row r="20">
      <c r="A20" s="55" t="s">
        <v>15</v>
      </c>
      <c r="B20" s="16" t="s">
        <v>16</v>
      </c>
      <c r="C20" s="61"/>
      <c r="D20" s="62"/>
      <c r="E20" s="63"/>
      <c r="F20" s="59" t="s">
        <v>26</v>
      </c>
      <c r="G20" s="21">
        <f t="shared" si="1"/>
        <v>0</v>
      </c>
      <c r="H20" s="60"/>
    </row>
    <row r="21" ht="14.25" customHeight="1">
      <c r="A21" s="38"/>
      <c r="B21" s="38"/>
      <c r="C21" s="38"/>
      <c r="D21" s="11"/>
      <c r="E21" s="11"/>
      <c r="F21" s="11"/>
      <c r="G21" s="11"/>
      <c r="H21" s="11"/>
    </row>
    <row r="22" ht="14.25" customHeight="1">
      <c r="A22" s="39" t="s">
        <v>20</v>
      </c>
      <c r="B22" s="40" t="s">
        <v>21</v>
      </c>
      <c r="C22" s="41" t="s">
        <v>22</v>
      </c>
      <c r="D22" s="11"/>
      <c r="E22" s="11"/>
      <c r="F22" s="11"/>
      <c r="G22" s="11"/>
      <c r="H22" s="11"/>
    </row>
    <row r="23" ht="14.25" customHeight="1">
      <c r="A23" s="42" t="s">
        <v>23</v>
      </c>
      <c r="B23" s="43">
        <f>SUMIF($A$7:$A$20,"W*",$G$7:$G$20)</f>
        <v>1.5</v>
      </c>
      <c r="C23" s="44">
        <f>B23/8</f>
        <v>0.1875</v>
      </c>
      <c r="D23" s="11"/>
      <c r="E23" s="11"/>
      <c r="F23" s="11"/>
      <c r="G23" s="11"/>
      <c r="H23" s="11"/>
    </row>
    <row r="24" ht="14.25" customHeight="1">
      <c r="A24" s="45" t="s">
        <v>24</v>
      </c>
      <c r="B24" s="46">
        <f t="shared" ref="B24:C24" si="2">SUM(B23)</f>
        <v>1.5</v>
      </c>
      <c r="C24" s="47">
        <f t="shared" si="2"/>
        <v>0.1875</v>
      </c>
      <c r="D24" s="11"/>
      <c r="E24" s="11"/>
      <c r="F24" s="11"/>
      <c r="G24" s="11"/>
      <c r="H24" s="11"/>
    </row>
    <row r="25" ht="14.25" customHeight="1">
      <c r="A25" s="11"/>
      <c r="B25" s="11"/>
      <c r="C25" s="11"/>
      <c r="D25" s="11"/>
      <c r="E25" s="11"/>
      <c r="F25" s="11"/>
      <c r="G25" s="11"/>
      <c r="H25" s="11"/>
    </row>
    <row r="26" ht="14.25" customHeight="1">
      <c r="A26" s="11"/>
      <c r="B26" s="11"/>
      <c r="C26" s="11"/>
      <c r="D26" s="11"/>
      <c r="E26" s="11"/>
      <c r="F26" s="11"/>
      <c r="G26" s="11"/>
      <c r="H26" s="11"/>
    </row>
    <row r="27" ht="14.25" customHeight="1">
      <c r="A27" s="11"/>
      <c r="B27" s="48"/>
      <c r="D27" s="11"/>
      <c r="E27" s="11"/>
      <c r="F27" s="11"/>
      <c r="G27" s="11"/>
      <c r="H27" s="11"/>
    </row>
    <row r="28" ht="14.25" customHeight="1">
      <c r="A28" s="1"/>
      <c r="B28" s="49"/>
      <c r="C28" s="49"/>
      <c r="D28" s="50"/>
      <c r="E28" s="11"/>
      <c r="F28" s="11"/>
      <c r="G28" s="11"/>
      <c r="H28" s="11"/>
    </row>
    <row r="29" ht="14.25" customHeight="1">
      <c r="A29" s="1"/>
      <c r="B29" s="51"/>
      <c r="C29" s="52"/>
      <c r="D29" s="11"/>
      <c r="E29" s="11"/>
      <c r="F29" s="11"/>
      <c r="G29" s="11"/>
      <c r="H29" s="11"/>
    </row>
    <row r="30" ht="14.25" customHeight="1">
      <c r="A30" s="1"/>
      <c r="B30" s="53"/>
      <c r="D30" s="1"/>
      <c r="E30" s="11"/>
      <c r="F30" s="11"/>
      <c r="G30" s="11"/>
      <c r="H30" s="11"/>
    </row>
    <row r="31" ht="14.25" customHeight="1">
      <c r="A31" s="1"/>
      <c r="B31" s="54"/>
      <c r="C31" s="49"/>
      <c r="D31" s="50"/>
      <c r="E31" s="11"/>
      <c r="F31" s="11"/>
      <c r="G31" s="11"/>
      <c r="H31" s="11"/>
    </row>
    <row r="32" ht="14.25" customHeight="1">
      <c r="A32" s="1"/>
      <c r="B32" s="51" t="s">
        <v>9</v>
      </c>
      <c r="C32" s="52"/>
      <c r="D32" s="11"/>
      <c r="E32" s="11"/>
      <c r="F32" s="11"/>
      <c r="G32" s="11"/>
      <c r="H32" s="11"/>
    </row>
    <row r="33" ht="14.25" customHeight="1">
      <c r="A33" s="11"/>
      <c r="B33" s="11"/>
      <c r="C33" s="11"/>
      <c r="D33" s="11"/>
      <c r="E33" s="11"/>
      <c r="F33" s="11"/>
      <c r="G33" s="11"/>
      <c r="H33" s="11"/>
    </row>
    <row r="34" ht="14.25" customHeight="1">
      <c r="A34" s="11"/>
      <c r="B34" s="11"/>
      <c r="C34" s="11"/>
      <c r="D34" s="11"/>
      <c r="E34" s="11"/>
      <c r="F34" s="11"/>
      <c r="G34" s="11"/>
      <c r="H34" s="11"/>
    </row>
    <row r="35" ht="14.25" customHeight="1">
      <c r="E35" s="11"/>
      <c r="F35" s="11"/>
      <c r="G35" s="11"/>
      <c r="H35" s="11"/>
    </row>
    <row r="36" ht="14.25" customHeight="1">
      <c r="E36" s="11"/>
      <c r="F36" s="11"/>
      <c r="G36" s="11"/>
      <c r="H36" s="11"/>
    </row>
    <row r="37" ht="14.25" customHeight="1">
      <c r="E37" s="11"/>
      <c r="F37" s="11"/>
      <c r="G37" s="11"/>
      <c r="H37" s="11"/>
    </row>
    <row r="38" ht="14.25" customHeight="1">
      <c r="E38" s="11"/>
      <c r="F38" s="11"/>
      <c r="G38" s="11"/>
      <c r="H38" s="11"/>
    </row>
    <row r="39" ht="14.25" customHeight="1">
      <c r="E39" s="11"/>
      <c r="F39" s="11"/>
      <c r="G39" s="11"/>
      <c r="H39" s="11"/>
    </row>
    <row r="40" ht="14.25" customHeight="1">
      <c r="E40" s="11"/>
      <c r="F40" s="11"/>
      <c r="G40" s="11"/>
      <c r="H40" s="11"/>
    </row>
    <row r="41" ht="14.25" customHeight="1">
      <c r="A41" s="11"/>
      <c r="B41" s="11"/>
      <c r="C41" s="11"/>
      <c r="D41" s="11"/>
      <c r="E41" s="11"/>
      <c r="F41" s="11"/>
      <c r="G41" s="11"/>
      <c r="H41" s="11"/>
    </row>
    <row r="42" ht="14.25" customHeight="1">
      <c r="A42" s="11"/>
      <c r="B42" s="11"/>
      <c r="C42" s="11"/>
      <c r="D42" s="11"/>
      <c r="E42" s="11"/>
      <c r="F42" s="11"/>
      <c r="G42" s="11"/>
      <c r="H42" s="11"/>
    </row>
    <row r="43" ht="14.25" customHeight="1">
      <c r="A43" s="11"/>
      <c r="B43" s="11"/>
      <c r="C43" s="11"/>
      <c r="D43" s="11"/>
      <c r="E43" s="11"/>
      <c r="F43" s="11"/>
      <c r="G43" s="11"/>
      <c r="H43" s="11"/>
    </row>
    <row r="44" ht="14.25" customHeight="1">
      <c r="A44" s="11"/>
      <c r="B44" s="11"/>
      <c r="C44" s="11"/>
      <c r="D44" s="11"/>
      <c r="E44" s="11"/>
      <c r="F44" s="11"/>
      <c r="G44" s="11"/>
      <c r="H44" s="11"/>
    </row>
    <row r="45" ht="14.25" customHeight="1">
      <c r="A45" s="11"/>
      <c r="B45" s="11"/>
      <c r="C45" s="11"/>
      <c r="D45" s="11"/>
      <c r="E45" s="11"/>
      <c r="F45" s="11"/>
      <c r="G45" s="11"/>
      <c r="H45" s="11"/>
    </row>
    <row r="46" ht="14.25" customHeight="1">
      <c r="A46" s="11"/>
      <c r="B46" s="11"/>
      <c r="C46" s="11"/>
      <c r="D46" s="11"/>
      <c r="E46" s="11"/>
      <c r="F46" s="11"/>
      <c r="G46" s="11"/>
      <c r="H46" s="11"/>
    </row>
    <row r="47" ht="14.25" customHeight="1">
      <c r="A47" s="11"/>
      <c r="B47" s="11"/>
      <c r="C47" s="11"/>
      <c r="D47" s="11"/>
      <c r="E47" s="11"/>
      <c r="F47" s="11"/>
      <c r="G47" s="11"/>
      <c r="H47" s="11"/>
    </row>
    <row r="48" ht="14.25" customHeight="1">
      <c r="A48" s="11"/>
      <c r="B48" s="11"/>
      <c r="C48" s="11"/>
      <c r="D48" s="11"/>
      <c r="E48" s="11"/>
      <c r="F48" s="11"/>
      <c r="G48" s="11"/>
      <c r="H48" s="11"/>
    </row>
    <row r="49" ht="14.25" customHeight="1">
      <c r="A49" s="11"/>
      <c r="B49" s="11"/>
      <c r="C49" s="11"/>
      <c r="D49" s="11"/>
      <c r="E49" s="11"/>
      <c r="F49" s="11"/>
      <c r="G49" s="11"/>
      <c r="H49" s="11"/>
    </row>
    <row r="50" ht="14.25" customHeight="1">
      <c r="A50" s="11"/>
      <c r="B50" s="11"/>
      <c r="C50" s="11"/>
      <c r="D50" s="11"/>
      <c r="E50" s="11"/>
      <c r="F50" s="11"/>
      <c r="G50" s="11"/>
      <c r="H50" s="11"/>
    </row>
    <row r="51" ht="14.25" customHeight="1">
      <c r="A51" s="11"/>
      <c r="B51" s="11"/>
      <c r="C51" s="11"/>
      <c r="D51" s="11"/>
      <c r="E51" s="11"/>
      <c r="F51" s="11"/>
      <c r="G51" s="11"/>
      <c r="H51" s="11"/>
    </row>
    <row r="52" ht="14.25" customHeight="1">
      <c r="A52" s="11"/>
      <c r="B52" s="11"/>
      <c r="C52" s="11"/>
      <c r="D52" s="11"/>
      <c r="E52" s="11"/>
      <c r="F52" s="11"/>
      <c r="G52" s="11"/>
      <c r="H52" s="11"/>
    </row>
    <row r="53" ht="14.25" customHeight="1">
      <c r="A53" s="11"/>
      <c r="B53" s="11"/>
      <c r="C53" s="11"/>
      <c r="D53" s="11"/>
      <c r="E53" s="11"/>
      <c r="F53" s="11"/>
      <c r="G53" s="11"/>
      <c r="H53" s="11"/>
    </row>
    <row r="54" ht="14.25" customHeight="1">
      <c r="A54" s="11"/>
      <c r="B54" s="11"/>
      <c r="C54" s="11"/>
      <c r="D54" s="11"/>
      <c r="E54" s="11"/>
      <c r="F54" s="11"/>
      <c r="G54" s="11"/>
      <c r="H54" s="11"/>
    </row>
    <row r="55" ht="14.25" customHeight="1">
      <c r="A55" s="11"/>
      <c r="B55" s="11"/>
      <c r="C55" s="11"/>
      <c r="D55" s="11"/>
      <c r="E55" s="11"/>
      <c r="F55" s="11"/>
      <c r="G55" s="11"/>
      <c r="H55" s="11"/>
    </row>
    <row r="56" ht="14.25" customHeight="1">
      <c r="A56" s="11"/>
      <c r="B56" s="11"/>
      <c r="C56" s="11"/>
      <c r="D56" s="11"/>
      <c r="E56" s="11"/>
      <c r="F56" s="11"/>
      <c r="G56" s="11"/>
      <c r="H56" s="11"/>
    </row>
    <row r="57" ht="14.25" customHeight="1">
      <c r="A57" s="11"/>
      <c r="B57" s="11"/>
      <c r="C57" s="11"/>
      <c r="D57" s="11"/>
      <c r="E57" s="11"/>
      <c r="F57" s="11"/>
      <c r="G57" s="11"/>
      <c r="H57" s="11"/>
    </row>
    <row r="58" ht="14.25" customHeight="1">
      <c r="A58" s="11"/>
      <c r="B58" s="11"/>
      <c r="C58" s="11"/>
      <c r="D58" s="11"/>
      <c r="E58" s="11"/>
      <c r="F58" s="11"/>
      <c r="G58" s="11"/>
      <c r="H58" s="11"/>
    </row>
    <row r="59" ht="14.25" customHeight="1">
      <c r="A59" s="11"/>
      <c r="B59" s="11"/>
      <c r="C59" s="11"/>
      <c r="D59" s="11"/>
      <c r="E59" s="11"/>
      <c r="F59" s="11"/>
      <c r="G59" s="11"/>
      <c r="H59" s="11"/>
    </row>
    <row r="60" ht="14.25" customHeight="1">
      <c r="A60" s="11"/>
      <c r="B60" s="11"/>
      <c r="C60" s="11"/>
      <c r="D60" s="11"/>
      <c r="E60" s="11"/>
      <c r="F60" s="11"/>
      <c r="G60" s="11"/>
      <c r="H60" s="11"/>
    </row>
    <row r="61" ht="14.25" customHeight="1">
      <c r="A61" s="11"/>
      <c r="B61" s="11"/>
      <c r="C61" s="11"/>
      <c r="D61" s="11"/>
      <c r="E61" s="11"/>
      <c r="F61" s="11"/>
      <c r="G61" s="11"/>
      <c r="H61" s="11"/>
    </row>
    <row r="62" ht="14.25" customHeight="1">
      <c r="A62" s="11"/>
      <c r="B62" s="11"/>
      <c r="C62" s="11"/>
      <c r="D62" s="11"/>
      <c r="E62" s="11"/>
      <c r="F62" s="11"/>
      <c r="G62" s="11"/>
      <c r="H62" s="11"/>
    </row>
    <row r="63" ht="14.25" customHeight="1">
      <c r="A63" s="11"/>
      <c r="B63" s="11"/>
      <c r="C63" s="11"/>
      <c r="D63" s="11"/>
      <c r="E63" s="11"/>
      <c r="F63" s="11"/>
      <c r="G63" s="11"/>
      <c r="H63" s="11"/>
    </row>
    <row r="64" ht="14.25" customHeight="1">
      <c r="A64" s="11"/>
      <c r="B64" s="11"/>
      <c r="C64" s="11"/>
      <c r="D64" s="11"/>
      <c r="E64" s="11"/>
      <c r="F64" s="11"/>
      <c r="G64" s="11"/>
      <c r="H64" s="11"/>
    </row>
    <row r="65" ht="14.25" customHeight="1">
      <c r="A65" s="11"/>
      <c r="B65" s="11"/>
      <c r="C65" s="11"/>
      <c r="D65" s="11"/>
      <c r="E65" s="11"/>
      <c r="F65" s="11"/>
      <c r="G65" s="11"/>
      <c r="H65" s="11"/>
    </row>
    <row r="66" ht="14.25" customHeight="1">
      <c r="A66" s="11"/>
      <c r="B66" s="11"/>
      <c r="C66" s="11"/>
      <c r="D66" s="11"/>
      <c r="E66" s="11"/>
      <c r="F66" s="11"/>
      <c r="G66" s="11"/>
      <c r="H66" s="11"/>
    </row>
    <row r="67" ht="14.25" customHeight="1">
      <c r="A67" s="11"/>
      <c r="B67" s="11"/>
      <c r="C67" s="11"/>
      <c r="D67" s="11"/>
      <c r="E67" s="11"/>
      <c r="F67" s="11"/>
      <c r="G67" s="11"/>
      <c r="H67" s="11"/>
    </row>
    <row r="68" ht="14.25" customHeight="1">
      <c r="A68" s="11"/>
      <c r="B68" s="11"/>
      <c r="C68" s="11"/>
      <c r="D68" s="11"/>
      <c r="E68" s="11"/>
      <c r="F68" s="11"/>
      <c r="G68" s="11"/>
      <c r="H68" s="11"/>
    </row>
    <row r="69" ht="14.25" customHeight="1">
      <c r="A69" s="11"/>
      <c r="B69" s="11"/>
      <c r="C69" s="11"/>
      <c r="D69" s="11"/>
      <c r="E69" s="11"/>
      <c r="F69" s="11"/>
      <c r="G69" s="11"/>
      <c r="H69" s="11"/>
    </row>
    <row r="70" ht="14.25" customHeight="1">
      <c r="A70" s="11"/>
      <c r="B70" s="11"/>
      <c r="C70" s="11"/>
      <c r="D70" s="11"/>
      <c r="E70" s="11"/>
      <c r="F70" s="11"/>
      <c r="G70" s="11"/>
      <c r="H70" s="11"/>
    </row>
    <row r="71" ht="14.25" customHeight="1">
      <c r="A71" s="11"/>
      <c r="B71" s="11"/>
      <c r="C71" s="11"/>
      <c r="D71" s="11"/>
      <c r="E71" s="11"/>
      <c r="F71" s="11"/>
      <c r="G71" s="11"/>
      <c r="H71" s="11"/>
    </row>
    <row r="72" ht="14.25" customHeight="1">
      <c r="A72" s="11"/>
      <c r="B72" s="11"/>
      <c r="C72" s="11"/>
      <c r="D72" s="11"/>
      <c r="E72" s="11"/>
      <c r="F72" s="11"/>
      <c r="G72" s="11"/>
      <c r="H72" s="11"/>
    </row>
    <row r="73" ht="14.25" customHeight="1">
      <c r="A73" s="11"/>
      <c r="B73" s="11"/>
      <c r="C73" s="11"/>
      <c r="D73" s="11"/>
      <c r="E73" s="11"/>
      <c r="F73" s="11"/>
      <c r="G73" s="11"/>
      <c r="H73" s="11"/>
    </row>
    <row r="74" ht="14.25" customHeight="1">
      <c r="A74" s="11"/>
      <c r="B74" s="11"/>
      <c r="C74" s="11"/>
      <c r="D74" s="11"/>
      <c r="E74" s="11"/>
      <c r="F74" s="11"/>
      <c r="G74" s="11"/>
      <c r="H74" s="11"/>
    </row>
    <row r="75" ht="14.25" customHeight="1">
      <c r="A75" s="11"/>
      <c r="B75" s="11"/>
      <c r="C75" s="11"/>
      <c r="D75" s="11"/>
      <c r="E75" s="11"/>
      <c r="F75" s="11"/>
      <c r="G75" s="11"/>
      <c r="H75" s="11"/>
    </row>
    <row r="76" ht="14.25" customHeight="1">
      <c r="A76" s="11"/>
      <c r="B76" s="11"/>
      <c r="C76" s="11"/>
      <c r="D76" s="11"/>
      <c r="E76" s="11"/>
      <c r="F76" s="11"/>
      <c r="G76" s="11"/>
      <c r="H76" s="11"/>
    </row>
    <row r="77" ht="14.25" customHeight="1">
      <c r="A77" s="11"/>
      <c r="B77" s="11"/>
      <c r="C77" s="11"/>
      <c r="D77" s="11"/>
      <c r="E77" s="11"/>
      <c r="F77" s="11"/>
      <c r="G77" s="11"/>
      <c r="H77" s="11"/>
    </row>
    <row r="78" ht="14.25" customHeight="1">
      <c r="A78" s="11"/>
      <c r="B78" s="11"/>
      <c r="C78" s="11"/>
      <c r="D78" s="11"/>
      <c r="E78" s="11"/>
      <c r="F78" s="11"/>
      <c r="G78" s="11"/>
      <c r="H78" s="11"/>
    </row>
    <row r="79" ht="14.25" customHeight="1">
      <c r="A79" s="11"/>
      <c r="B79" s="11"/>
      <c r="C79" s="11"/>
      <c r="D79" s="11"/>
      <c r="E79" s="11"/>
      <c r="F79" s="11"/>
      <c r="G79" s="11"/>
      <c r="H79" s="11"/>
    </row>
    <row r="80" ht="14.25" customHeight="1">
      <c r="A80" s="11"/>
      <c r="B80" s="11"/>
      <c r="C80" s="11"/>
      <c r="D80" s="11"/>
      <c r="E80" s="11"/>
      <c r="F80" s="11"/>
      <c r="G80" s="11"/>
      <c r="H80" s="11"/>
    </row>
    <row r="81" ht="14.25" customHeight="1">
      <c r="A81" s="11"/>
      <c r="B81" s="11"/>
      <c r="C81" s="11"/>
      <c r="D81" s="11"/>
      <c r="E81" s="11"/>
      <c r="F81" s="11"/>
      <c r="G81" s="11"/>
      <c r="H81" s="11"/>
    </row>
    <row r="82" ht="14.25" customHeight="1">
      <c r="A82" s="11"/>
      <c r="B82" s="11"/>
      <c r="C82" s="11"/>
      <c r="D82" s="11"/>
      <c r="E82" s="11"/>
      <c r="F82" s="11"/>
      <c r="G82" s="11"/>
      <c r="H82" s="11"/>
    </row>
    <row r="83" ht="14.25" customHeight="1">
      <c r="A83" s="11"/>
      <c r="B83" s="11"/>
      <c r="C83" s="11"/>
      <c r="D83" s="11"/>
      <c r="E83" s="11"/>
      <c r="F83" s="11"/>
      <c r="G83" s="11"/>
      <c r="H83" s="11"/>
    </row>
    <row r="84" ht="14.25" customHeight="1">
      <c r="A84" s="11"/>
      <c r="B84" s="11"/>
      <c r="C84" s="11"/>
      <c r="D84" s="11"/>
      <c r="E84" s="11"/>
      <c r="F84" s="11"/>
      <c r="G84" s="11"/>
      <c r="H84" s="11"/>
    </row>
    <row r="85" ht="14.25" customHeight="1">
      <c r="A85" s="11"/>
      <c r="B85" s="11"/>
      <c r="C85" s="11"/>
      <c r="D85" s="11"/>
      <c r="E85" s="11"/>
      <c r="F85" s="11"/>
      <c r="G85" s="11"/>
      <c r="H85" s="11"/>
    </row>
    <row r="86" ht="14.25" customHeight="1">
      <c r="A86" s="11"/>
      <c r="B86" s="11"/>
      <c r="C86" s="11"/>
      <c r="D86" s="11"/>
      <c r="E86" s="11"/>
      <c r="F86" s="11"/>
      <c r="G86" s="11"/>
      <c r="H86" s="11"/>
    </row>
    <row r="87" ht="14.25" customHeight="1">
      <c r="A87" s="11"/>
      <c r="B87" s="11"/>
      <c r="C87" s="11"/>
      <c r="D87" s="11"/>
      <c r="E87" s="11"/>
      <c r="F87" s="11"/>
      <c r="G87" s="11"/>
      <c r="H87" s="11"/>
    </row>
    <row r="88" ht="14.25" customHeight="1">
      <c r="A88" s="11"/>
      <c r="B88" s="11"/>
      <c r="C88" s="11"/>
      <c r="D88" s="11"/>
      <c r="E88" s="11"/>
      <c r="F88" s="11"/>
      <c r="G88" s="11"/>
      <c r="H88" s="11"/>
    </row>
    <row r="89" ht="14.25" customHeight="1">
      <c r="A89" s="11"/>
      <c r="B89" s="11"/>
      <c r="C89" s="11"/>
      <c r="D89" s="11"/>
      <c r="E89" s="11"/>
      <c r="F89" s="11"/>
      <c r="G89" s="11"/>
      <c r="H89" s="11"/>
    </row>
    <row r="90" ht="14.25" customHeight="1">
      <c r="A90" s="11"/>
      <c r="B90" s="11"/>
      <c r="C90" s="11"/>
      <c r="D90" s="11"/>
      <c r="E90" s="11"/>
      <c r="F90" s="11"/>
      <c r="G90" s="11"/>
      <c r="H90" s="11"/>
    </row>
    <row r="91" ht="14.25" customHeight="1">
      <c r="A91" s="11"/>
      <c r="B91" s="11"/>
      <c r="C91" s="11"/>
      <c r="D91" s="11"/>
      <c r="E91" s="11"/>
      <c r="F91" s="11"/>
      <c r="G91" s="11"/>
      <c r="H91" s="11"/>
    </row>
    <row r="92" ht="14.25" customHeight="1">
      <c r="A92" s="11"/>
      <c r="B92" s="11"/>
      <c r="C92" s="11"/>
      <c r="D92" s="11"/>
      <c r="E92" s="11"/>
      <c r="F92" s="11"/>
      <c r="G92" s="11"/>
      <c r="H92" s="11"/>
    </row>
    <row r="93" ht="14.25" customHeight="1">
      <c r="A93" s="11"/>
      <c r="B93" s="11"/>
      <c r="C93" s="11"/>
      <c r="D93" s="11"/>
      <c r="E93" s="11"/>
      <c r="F93" s="11"/>
      <c r="G93" s="11"/>
      <c r="H93" s="11"/>
    </row>
    <row r="94" ht="14.25" customHeight="1">
      <c r="A94" s="11"/>
      <c r="B94" s="11"/>
      <c r="C94" s="11"/>
      <c r="D94" s="11"/>
      <c r="E94" s="11"/>
      <c r="F94" s="11"/>
      <c r="G94" s="11"/>
      <c r="H94" s="11"/>
    </row>
    <row r="95" ht="14.25" customHeight="1">
      <c r="A95" s="11"/>
      <c r="B95" s="11"/>
      <c r="C95" s="11"/>
      <c r="D95" s="11"/>
      <c r="E95" s="11"/>
      <c r="F95" s="11"/>
      <c r="G95" s="11"/>
      <c r="H95" s="11"/>
    </row>
    <row r="96" ht="14.25" customHeight="1">
      <c r="A96" s="11"/>
      <c r="B96" s="11"/>
      <c r="C96" s="11"/>
      <c r="D96" s="11"/>
      <c r="E96" s="11"/>
      <c r="F96" s="11"/>
      <c r="G96" s="11"/>
      <c r="H96" s="11"/>
    </row>
    <row r="97" ht="14.25" customHeight="1">
      <c r="A97" s="11"/>
      <c r="B97" s="11"/>
      <c r="C97" s="11"/>
      <c r="D97" s="11"/>
      <c r="E97" s="11"/>
      <c r="F97" s="11"/>
      <c r="G97" s="11"/>
      <c r="H97" s="11"/>
    </row>
    <row r="98" ht="14.25" customHeight="1">
      <c r="A98" s="11"/>
      <c r="B98" s="11"/>
      <c r="C98" s="11"/>
      <c r="D98" s="11"/>
      <c r="E98" s="11"/>
      <c r="F98" s="11"/>
      <c r="G98" s="11"/>
      <c r="H98" s="11"/>
    </row>
    <row r="99" ht="14.25" customHeight="1">
      <c r="A99" s="11"/>
      <c r="B99" s="11"/>
      <c r="C99" s="11"/>
      <c r="D99" s="11"/>
      <c r="E99" s="11"/>
      <c r="F99" s="11"/>
      <c r="G99" s="11"/>
      <c r="H99" s="11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H$21"/>
  <mergeCells count="6">
    <mergeCell ref="B2:H2"/>
    <mergeCell ref="B27:C28"/>
    <mergeCell ref="B29:C29"/>
    <mergeCell ref="B30:C30"/>
    <mergeCell ref="B31:C31"/>
    <mergeCell ref="B32:C32"/>
  </mergeCells>
  <conditionalFormatting sqref="A7:H20">
    <cfRule type="expression" dxfId="0" priority="1" stopIfTrue="1">
      <formula>OR(LEFT($A7, 2)="H1", LEFT($A7, 2)="L1", LEFT($A7, 2)="L2")</formula>
    </cfRule>
  </conditionalFormatting>
  <conditionalFormatting sqref="G7:G20">
    <cfRule type="expression" dxfId="1" priority="2" stopIfTrue="1">
      <formula>OR(LEFT($A7, 2)="W1")</formula>
    </cfRule>
  </conditionalFormatting>
  <dataValidations>
    <dataValidation type="list" allowBlank="1" showErrorMessage="1" sqref="F7:F20">
      <formula1>"YES,NO"</formula1>
    </dataValidation>
    <dataValidation type="list" allowBlank="1" showErrorMessage="1" sqref="A7:A20">
      <formula1>"H1 - Holiday,W1 - Test Execution,L1 - Annual Leave,L2 - Sick Leave"</formula1>
    </dataValidation>
    <dataValidation type="list" allowBlank="1" showErrorMessage="1" sqref="B7:B20">
      <formula1>"Junior QA,Senior QA,Technical Specialist QA"</formula1>
    </dataValidation>
  </dataValidations>
  <printOptions/>
  <pageMargins bottom="0.13" footer="0.0" header="0.0" left="0.7" right="0.7" top="0.25"/>
  <pageSetup paperSize="9" scale="60" orientation="landscape"/>
  <drawing r:id="rId1"/>
</worksheet>
</file>