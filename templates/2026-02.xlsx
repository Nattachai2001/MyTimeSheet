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Hours'!$A$1:$H$34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Hours'!$A$1:$H$34</definedName>
    <definedName hidden="1" localSheetId="0" name="_xlnm._FilterDatabase">'Timesheet - Standard Hours'!$A$6:$H$35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<sst xmlns="http://schemas.openxmlformats.org/spreadsheetml/2006/main" count="145" uniqueCount="27">
  <si>
    <t> Timesheet - Standard Hours</t>
  </si>
  <si>
    <t xml:space="preserve">Period : </t>
  </si>
  <si>
    <t>2026 Feb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</si>
  <si>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</si>
  <si>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</si>
  <si>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</si>
  <si>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</si>
  <si>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</si>
  <si>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</si>
  <si>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</si>
  <si>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</si>
  <si>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</si>
  <si>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</si>
  <si>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</si>
  <si>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</si>
  <si>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H1 - Holiday</t>
  </si>
  <si>
    <t>Junior QA Consult</t>
  </si>
  <si>
    <t>W1 - Test Execution</t>
  </si>
  <si>
    <t>YES</t>
  </si>
  <si>
    <t>Execute LMS test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</si>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</sst>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3" numFmtId="165" xfId="0" applyAlignment="1" applyBorder="1" applyFont="1" applyNumberFormat="1">
      <alignment horizontal="center" vertical="center"/>
    </xf>
    <xf borderId="5" fillId="5" fontId="13" numFmtId="165" xfId="0" applyAlignment="1" applyBorder="1" applyFont="1" applyNumberFormat="1">
      <alignment horizontal="center" vertical="center"/>
    </xf>
    <xf borderId="5" fillId="5" fontId="13" numFmtId="20" xfId="0" applyAlignment="1" applyBorder="1" applyFont="1" applyNumberFormat="1">
      <alignment horizontal="center" vertical="center"/>
    </xf>
    <xf borderId="5" fillId="5" fontId="13" numFmtId="2" xfId="0" applyAlignment="1" applyBorder="1" applyFont="1" applyNumberFormat="1">
      <alignment horizontal="center" vertical="center"/>
    </xf>
    <xf borderId="7" fillId="5" fontId="13" numFmtId="2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6" fillId="6" fontId="11" numFmtId="0" xfId="0" applyAlignment="1" applyBorder="1" applyFill="1" applyFont="1">
      <alignment horizontal="center" shrinkToFit="0" vertical="center" wrapText="1"/>
    </xf>
    <xf borderId="6" fillId="6" fontId="12" numFmtId="164" xfId="0" applyAlignment="1" applyBorder="1" applyFont="1" applyNumberFormat="1">
      <alignment horizontal="center" vertical="center"/>
    </xf>
    <xf borderId="6" fillId="6" fontId="12" numFmtId="165" xfId="0" applyAlignment="1" applyBorder="1" applyFont="1" applyNumberFormat="1">
      <alignment horizontal="center" vertical="center"/>
    </xf>
    <xf borderId="5" fillId="6" fontId="12" numFmtId="165" xfId="0" applyAlignment="1" applyBorder="1" applyFont="1" applyNumberFormat="1">
      <alignment horizontal="center" vertical="center"/>
    </xf>
    <xf borderId="5" fillId="6" fontId="12" numFmtId="20" xfId="0" applyAlignment="1" applyBorder="1" applyFont="1" applyNumberFormat="1">
      <alignment horizontal="center" vertical="center"/>
    </xf>
    <xf borderId="5" fillId="7" fontId="12" numFmtId="2" xfId="0" applyAlignment="1" applyBorder="1" applyFill="1" applyFont="1" applyNumberFormat="1">
      <alignment horizontal="center" vertical="center"/>
    </xf>
    <xf borderId="7" fillId="6" fontId="14" numFmtId="2" xfId="0" applyAlignment="1" applyBorder="1" applyFont="1" applyNumberFormat="1">
      <alignment shrinkToFit="0" vertical="center" wrapText="1"/>
    </xf>
    <xf borderId="6" fillId="6" fontId="13" numFmtId="165" xfId="0" applyAlignment="1" applyBorder="1" applyFont="1" applyNumberFormat="1">
      <alignment horizontal="center" vertical="center"/>
    </xf>
    <xf borderId="5" fillId="6" fontId="13" numFmtId="165" xfId="0" applyAlignment="1" applyBorder="1" applyFont="1" applyNumberFormat="1">
      <alignment horizontal="center" vertical="center"/>
    </xf>
    <xf borderId="5" fillId="6" fontId="13" numFmtId="20" xfId="0" applyAlignment="1" applyBorder="1" applyFont="1" applyNumberFormat="1">
      <alignment horizontal="center" vertical="center"/>
    </xf>
    <xf borderId="5" fillId="7" fontId="13" numFmtId="2" xfId="0" applyAlignment="1" applyBorder="1" applyFont="1" applyNumberFormat="1">
      <alignment horizontal="center" vertical="center"/>
    </xf>
    <xf borderId="7" fillId="6" fontId="13" numFmtId="2" xfId="0" applyAlignment="1" applyBorder="1" applyFont="1" applyNumberFormat="1">
      <alignment vertical="center"/>
    </xf>
    <xf borderId="7" fillId="6" fontId="13" numFmtId="0" xfId="0" applyAlignment="1" applyBorder="1" applyFont="1">
      <alignment vertical="center"/>
    </xf>
    <xf borderId="7" fillId="6" fontId="13" numFmtId="0" xfId="0" applyAlignment="1" applyBorder="1" applyFont="1">
      <alignment vertical="center"/>
    </xf>
    <xf borderId="1" fillId="6" fontId="13" numFmtId="0" xfId="0" applyAlignment="1" applyBorder="1" applyFont="1">
      <alignment vertical="center"/>
    </xf>
    <xf borderId="7" fillId="5" fontId="13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4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46054.0</v>
      </c>
      <c r="D7" s="18"/>
      <c r="E7" s="19"/>
      <c r="F7" s="20"/>
      <c r="G7" s="21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 t="s">
        <v>17</v>
      </c>
      <c r="B8" s="16" t="s">
        <v>16</v>
      </c>
      <c r="C8" s="25">
        <v>46055.0</v>
      </c>
      <c r="D8" s="26">
        <v>0.375</v>
      </c>
      <c r="E8" s="27">
        <v>0.75</v>
      </c>
      <c r="F8" s="28" t="s">
        <v>18</v>
      </c>
      <c r="G8" s="29">
        <f>MIN(MAX(IF(F8="YES", ((E8-D8) * 24) - 1, (E8-D8) * 24), 0), 8)</f>
        <v>8</v>
      </c>
      <c r="H8" s="30" t="s">
        <v>19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4" t="s">
        <v>17</v>
      </c>
      <c r="B9" s="16" t="s">
        <v>16</v>
      </c>
      <c r="C9" s="25">
        <v>46056.0</v>
      </c>
      <c r="D9" s="31"/>
      <c r="E9" s="32"/>
      <c r="F9" s="33"/>
      <c r="G9" s="34"/>
      <c r="H9" s="35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4" t="s">
        <v>17</v>
      </c>
      <c r="B10" s="16" t="s">
        <v>16</v>
      </c>
      <c r="C10" s="25">
        <v>46057.0</v>
      </c>
      <c r="D10" s="31"/>
      <c r="E10" s="32"/>
      <c r="F10" s="33"/>
      <c r="G10" s="34"/>
      <c r="H10" s="36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4" t="s">
        <v>17</v>
      </c>
      <c r="B11" s="16" t="s">
        <v>16</v>
      </c>
      <c r="C11" s="25">
        <v>46058.0</v>
      </c>
      <c r="D11" s="31"/>
      <c r="E11" s="32"/>
      <c r="F11" s="33"/>
      <c r="G11" s="34"/>
      <c r="H11" s="37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4" t="s">
        <v>17</v>
      </c>
      <c r="B12" s="16" t="s">
        <v>16</v>
      </c>
      <c r="C12" s="25">
        <v>46059.0</v>
      </c>
      <c r="D12" s="31"/>
      <c r="E12" s="32"/>
      <c r="F12" s="33"/>
      <c r="G12" s="34"/>
      <c r="H12" s="37"/>
      <c r="I12" s="38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46060.0</v>
      </c>
      <c r="D13" s="18"/>
      <c r="E13" s="19"/>
      <c r="F13" s="20"/>
      <c r="G13" s="21"/>
      <c r="H13" s="39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46061.0</v>
      </c>
      <c r="D14" s="18"/>
      <c r="E14" s="19"/>
      <c r="F14" s="20"/>
      <c r="G14" s="21"/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4" t="s">
        <v>17</v>
      </c>
      <c r="B15" s="16" t="s">
        <v>16</v>
      </c>
      <c r="C15" s="25">
        <v>46062.0</v>
      </c>
      <c r="D15" s="31"/>
      <c r="E15" s="32"/>
      <c r="F15" s="33"/>
      <c r="G15" s="34"/>
      <c r="H15" s="35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17</v>
      </c>
      <c r="B16" s="16" t="s">
        <v>16</v>
      </c>
      <c r="C16" s="25">
        <v>46063.0</v>
      </c>
      <c r="D16" s="31"/>
      <c r="E16" s="32"/>
      <c r="F16" s="33"/>
      <c r="G16" s="34"/>
      <c r="H16" s="3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 t="s">
        <v>17</v>
      </c>
      <c r="B17" s="16" t="s">
        <v>16</v>
      </c>
      <c r="C17" s="25">
        <v>46064.0</v>
      </c>
      <c r="D17" s="31"/>
      <c r="E17" s="32"/>
      <c r="F17" s="33"/>
      <c r="G17" s="34"/>
      <c r="H17" s="35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 t="s">
        <v>17</v>
      </c>
      <c r="B18" s="16" t="s">
        <v>16</v>
      </c>
      <c r="C18" s="25">
        <v>46065.0</v>
      </c>
      <c r="D18" s="31"/>
      <c r="E18" s="32"/>
      <c r="F18" s="33"/>
      <c r="G18" s="34"/>
      <c r="H18" s="35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4" t="s">
        <v>17</v>
      </c>
      <c r="B19" s="16" t="s">
        <v>16</v>
      </c>
      <c r="C19" s="25">
        <v>46066.0</v>
      </c>
      <c r="D19" s="31"/>
      <c r="E19" s="32"/>
      <c r="F19" s="33"/>
      <c r="G19" s="34"/>
      <c r="H19" s="3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46067.0</v>
      </c>
      <c r="D20" s="18"/>
      <c r="E20" s="19"/>
      <c r="F20" s="20"/>
      <c r="G20" s="21"/>
      <c r="H20" s="39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46068.0</v>
      </c>
      <c r="D21" s="18"/>
      <c r="E21" s="19"/>
      <c r="F21" s="20"/>
      <c r="G21" s="21"/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4" t="s">
        <v>17</v>
      </c>
      <c r="B22" s="16" t="s">
        <v>16</v>
      </c>
      <c r="C22" s="25">
        <v>46069.0</v>
      </c>
      <c r="D22" s="31"/>
      <c r="E22" s="32"/>
      <c r="F22" s="33"/>
      <c r="G22" s="34"/>
      <c r="H22" s="35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 t="s">
        <v>17</v>
      </c>
      <c r="B23" s="16" t="s">
        <v>16</v>
      </c>
      <c r="C23" s="25">
        <v>46070.0</v>
      </c>
      <c r="D23" s="31"/>
      <c r="E23" s="32"/>
      <c r="F23" s="33"/>
      <c r="G23" s="34"/>
      <c r="H23" s="35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4" t="s">
        <v>17</v>
      </c>
      <c r="B24" s="16" t="s">
        <v>16</v>
      </c>
      <c r="C24" s="25">
        <v>46071.0</v>
      </c>
      <c r="D24" s="31"/>
      <c r="E24" s="32"/>
      <c r="F24" s="33"/>
      <c r="G24" s="34"/>
      <c r="H24" s="35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 t="s">
        <v>17</v>
      </c>
      <c r="B25" s="16" t="s">
        <v>16</v>
      </c>
      <c r="C25" s="25">
        <v>46072.0</v>
      </c>
      <c r="D25" s="31"/>
      <c r="E25" s="32"/>
      <c r="F25" s="33"/>
      <c r="G25" s="34"/>
      <c r="H25" s="3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4" t="s">
        <v>17</v>
      </c>
      <c r="B26" s="16" t="s">
        <v>16</v>
      </c>
      <c r="C26" s="25">
        <v>46073.0</v>
      </c>
      <c r="D26" s="31"/>
      <c r="E26" s="32"/>
      <c r="F26" s="33"/>
      <c r="G26" s="34"/>
      <c r="H26" s="3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46074.0</v>
      </c>
      <c r="D27" s="18"/>
      <c r="E27" s="19"/>
      <c r="F27" s="20"/>
      <c r="G27" s="21"/>
      <c r="H27" s="22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15" t="s">
        <v>15</v>
      </c>
      <c r="B28" s="16" t="s">
        <v>16</v>
      </c>
      <c r="C28" s="17">
        <v>46075.0</v>
      </c>
      <c r="D28" s="18"/>
      <c r="E28" s="19"/>
      <c r="F28" s="20"/>
      <c r="G28" s="21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4" t="s">
        <v>17</v>
      </c>
      <c r="B29" s="16" t="s">
        <v>16</v>
      </c>
      <c r="C29" s="25">
        <v>46076.0</v>
      </c>
      <c r="D29" s="31"/>
      <c r="E29" s="32"/>
      <c r="F29" s="33"/>
      <c r="G29" s="34"/>
      <c r="H29" s="3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 t="s">
        <v>17</v>
      </c>
      <c r="B30" s="16" t="s">
        <v>16</v>
      </c>
      <c r="C30" s="25">
        <v>46077.0</v>
      </c>
      <c r="D30" s="31"/>
      <c r="E30" s="32"/>
      <c r="F30" s="33"/>
      <c r="G30" s="34"/>
      <c r="H30" s="35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4" t="s">
        <v>17</v>
      </c>
      <c r="B31" s="16" t="s">
        <v>16</v>
      </c>
      <c r="C31" s="25">
        <v>46078.0</v>
      </c>
      <c r="D31" s="31"/>
      <c r="E31" s="32"/>
      <c r="F31" s="33"/>
      <c r="G31" s="34"/>
      <c r="H31" s="35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4" t="s">
        <v>17</v>
      </c>
      <c r="B32" s="16" t="s">
        <v>16</v>
      </c>
      <c r="C32" s="25">
        <v>46079.0</v>
      </c>
      <c r="D32" s="31"/>
      <c r="E32" s="32"/>
      <c r="F32" s="33"/>
      <c r="G32" s="34"/>
      <c r="H32" s="35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4" t="s">
        <v>17</v>
      </c>
      <c r="B33" s="16" t="s">
        <v>16</v>
      </c>
      <c r="C33" s="25">
        <v>46080.0</v>
      </c>
      <c r="D33" s="31"/>
      <c r="E33" s="32"/>
      <c r="F33" s="33"/>
      <c r="G33" s="34"/>
      <c r="H33" s="37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46081.0</v>
      </c>
      <c r="D34" s="18"/>
      <c r="E34" s="19"/>
      <c r="F34" s="20"/>
      <c r="G34" s="21"/>
      <c r="H34" s="3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40"/>
      <c r="B35" s="40"/>
      <c r="C35" s="40"/>
      <c r="D35" s="11"/>
      <c r="E35" s="11"/>
      <c r="F35" s="11"/>
      <c r="G35" s="11"/>
      <c r="H35" s="11"/>
    </row>
    <row r="36" ht="14.25" customHeight="1">
      <c r="A36" s="41" t="s">
        <v>20</v>
      </c>
      <c r="B36" s="42" t="s">
        <v>21</v>
      </c>
      <c r="C36" s="43" t="s">
        <v>22</v>
      </c>
      <c r="D36" s="11"/>
      <c r="E36" s="11"/>
      <c r="F36" s="11"/>
      <c r="G36" s="11"/>
      <c r="H36" s="11"/>
    </row>
    <row r="37" ht="14.25" customHeight="1">
      <c r="A37" s="44" t="s">
        <v>23</v>
      </c>
      <c r="B37" s="45">
        <f>SUMIF($A$7:$A$34,"W*",$G$7:$G$34)</f>
        <v>8</v>
      </c>
      <c r="C37" s="46">
        <f>B37/8</f>
        <v>1</v>
      </c>
      <c r="D37" s="11"/>
      <c r="E37" s="11"/>
      <c r="F37" s="11"/>
      <c r="G37" s="11"/>
      <c r="H37" s="11"/>
    </row>
    <row r="38" ht="14.25" customHeight="1">
      <c r="A38" s="47" t="s">
        <v>24</v>
      </c>
      <c r="B38" s="48">
        <f t="shared" ref="B38:C38" si="1">SUM(B37)</f>
        <v>8</v>
      </c>
      <c r="C38" s="49">
        <f t="shared" si="1"/>
        <v>1</v>
      </c>
      <c r="D38" s="11"/>
      <c r="E38" s="11"/>
      <c r="F38" s="11"/>
      <c r="G38" s="11"/>
      <c r="H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</row>
    <row r="41" ht="14.25" customHeight="1">
      <c r="A41" s="11"/>
      <c r="B41" s="50"/>
      <c r="D41" s="11"/>
      <c r="E41" s="11"/>
      <c r="F41" s="11"/>
      <c r="G41" s="11"/>
      <c r="H41" s="11"/>
    </row>
    <row r="42" ht="14.25" customHeight="1">
      <c r="A42" s="1"/>
      <c r="B42" s="51"/>
      <c r="C42" s="51"/>
      <c r="D42" s="52"/>
      <c r="E42" s="11"/>
      <c r="F42" s="11"/>
      <c r="G42" s="11"/>
      <c r="H42" s="11"/>
    </row>
    <row r="43" ht="14.25" customHeight="1">
      <c r="A43" s="1"/>
      <c r="B43" s="53"/>
      <c r="C43" s="54"/>
      <c r="D43" s="11"/>
      <c r="E43" s="11"/>
      <c r="F43" s="11"/>
      <c r="G43" s="11"/>
      <c r="H43" s="11"/>
    </row>
    <row r="44" ht="14.25" customHeight="1">
      <c r="A44" s="1"/>
      <c r="B44" s="55"/>
      <c r="D44" s="1"/>
      <c r="E44" s="11"/>
      <c r="F44" s="11"/>
      <c r="G44" s="11"/>
      <c r="H44" s="11"/>
    </row>
    <row r="45" ht="14.25" customHeight="1">
      <c r="A45" s="1"/>
      <c r="B45" s="56"/>
      <c r="C45" s="51"/>
      <c r="D45" s="52"/>
      <c r="E45" s="11"/>
      <c r="F45" s="11"/>
      <c r="G45" s="11"/>
      <c r="H45" s="11"/>
    </row>
    <row r="46" ht="14.25" customHeight="1">
      <c r="A46" s="1"/>
      <c r="B46" s="53" t="s">
        <v>9</v>
      </c>
      <c r="C46" s="54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E49" s="11"/>
      <c r="F49" s="11"/>
      <c r="G49" s="11"/>
      <c r="H49" s="11"/>
    </row>
    <row r="50" ht="14.25" customHeight="1">
      <c r="E50" s="11"/>
      <c r="F50" s="11"/>
      <c r="G50" s="11"/>
      <c r="H50" s="11"/>
    </row>
    <row r="51" ht="14.25" customHeight="1"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6:$H$35"/>
  <mergeCells count="6">
    <mergeCell ref="B2:H2"/>
    <mergeCell ref="B41:C42"/>
    <mergeCell ref="B43:C43"/>
    <mergeCell ref="B44:C44"/>
    <mergeCell ref="B45:C45"/>
    <mergeCell ref="B46:C46"/>
  </mergeCells>
  <conditionalFormatting sqref="A7:H34">
    <cfRule type="expression" dxfId="0" priority="1" stopIfTrue="1">
      <formula>OR(LEFT($A7, 2)="H1", LEFT($A7, 2)="L1", LEFT($A7, 2)="L2")</formula>
    </cfRule>
  </conditionalFormatting>
  <conditionalFormatting sqref="G7:G34">
    <cfRule type="expression" dxfId="1" priority="2" stopIfTrue="1">
      <formula>OR(LEFT($A7, 2)="W1")</formula>
    </cfRule>
  </conditionalFormatting>
  <dataValidations>
    <dataValidation type="list" allowBlank="1" showErrorMessage="1" sqref="F7:F34">
      <formula1>"YES,NO"</formula1>
    </dataValidation>
    <dataValidation type="list" allowBlank="1" showErrorMessage="1" sqref="A7:A34">
      <formula1>"H1 - Holiday,W1 - Test Execution,L1 - Annual Leave,L2 - Sick Leave"</formula1>
    </dataValidation>
    <dataValidation type="list" allowBlank="1" showErrorMessage="1" sqref="B7:B34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7" t="s">
        <v>17</v>
      </c>
      <c r="B7" s="16" t="s">
        <v>16</v>
      </c>
      <c r="C7" s="58">
        <v>46055.0</v>
      </c>
      <c r="D7" s="59">
        <v>0.7708333333333334</v>
      </c>
      <c r="E7" s="60">
        <v>0.8333333333333334</v>
      </c>
      <c r="F7" s="61" t="s">
        <v>26</v>
      </c>
      <c r="G7" s="29">
        <f t="shared" ref="G7:G20" si="1">MAX(IF(F7="YES", ((E7-D7) * 24) - 1, (E7-D7) * 24), 0)</f>
        <v>1.5</v>
      </c>
      <c r="H7" s="62" t="s">
        <v>19</v>
      </c>
    </row>
    <row r="8">
      <c r="A8" s="57" t="s">
        <v>17</v>
      </c>
      <c r="B8" s="16" t="s">
        <v>16</v>
      </c>
      <c r="C8" s="63"/>
      <c r="D8" s="64"/>
      <c r="E8" s="65"/>
      <c r="F8" s="61" t="s">
        <v>26</v>
      </c>
      <c r="G8" s="29">
        <f t="shared" si="1"/>
        <v>0</v>
      </c>
      <c r="H8" s="62"/>
    </row>
    <row r="9" ht="15.75" customHeight="1">
      <c r="A9" s="57" t="s">
        <v>17</v>
      </c>
      <c r="B9" s="16" t="s">
        <v>16</v>
      </c>
      <c r="C9" s="63"/>
      <c r="D9" s="64"/>
      <c r="E9" s="65"/>
      <c r="F9" s="61" t="s">
        <v>26</v>
      </c>
      <c r="G9" s="29">
        <f t="shared" si="1"/>
        <v>0</v>
      </c>
      <c r="H9" s="66"/>
    </row>
    <row r="10" ht="14.25" customHeight="1">
      <c r="A10" s="57" t="s">
        <v>17</v>
      </c>
      <c r="B10" s="16" t="s">
        <v>16</v>
      </c>
      <c r="C10" s="63"/>
      <c r="D10" s="64"/>
      <c r="E10" s="65"/>
      <c r="F10" s="61" t="s">
        <v>26</v>
      </c>
      <c r="G10" s="29">
        <f t="shared" si="1"/>
        <v>0</v>
      </c>
      <c r="H10" s="66"/>
    </row>
    <row r="11">
      <c r="A11" s="57" t="s">
        <v>17</v>
      </c>
      <c r="B11" s="16" t="s">
        <v>16</v>
      </c>
      <c r="C11" s="63"/>
      <c r="D11" s="64"/>
      <c r="E11" s="65"/>
      <c r="F11" s="61" t="s">
        <v>26</v>
      </c>
      <c r="G11" s="29">
        <f t="shared" si="1"/>
        <v>0</v>
      </c>
      <c r="H11" s="62"/>
    </row>
    <row r="12">
      <c r="A12" s="57" t="s">
        <v>17</v>
      </c>
      <c r="B12" s="16" t="s">
        <v>16</v>
      </c>
      <c r="C12" s="63"/>
      <c r="D12" s="64"/>
      <c r="E12" s="65"/>
      <c r="F12" s="61" t="s">
        <v>26</v>
      </c>
      <c r="G12" s="29">
        <f t="shared" si="1"/>
        <v>0</v>
      </c>
      <c r="H12" s="62"/>
    </row>
    <row r="13">
      <c r="A13" s="57" t="s">
        <v>17</v>
      </c>
      <c r="B13" s="16" t="s">
        <v>16</v>
      </c>
      <c r="C13" s="63"/>
      <c r="D13" s="64"/>
      <c r="E13" s="65"/>
      <c r="F13" s="61" t="s">
        <v>26</v>
      </c>
      <c r="G13" s="29">
        <f t="shared" si="1"/>
        <v>0</v>
      </c>
      <c r="H13" s="62"/>
    </row>
    <row r="14">
      <c r="A14" s="57" t="s">
        <v>17</v>
      </c>
      <c r="B14" s="16" t="s">
        <v>16</v>
      </c>
      <c r="C14" s="63"/>
      <c r="D14" s="64"/>
      <c r="E14" s="65"/>
      <c r="F14" s="61" t="s">
        <v>26</v>
      </c>
      <c r="G14" s="29">
        <f t="shared" si="1"/>
        <v>0</v>
      </c>
      <c r="H14" s="62"/>
    </row>
    <row r="15">
      <c r="A15" s="57" t="s">
        <v>17</v>
      </c>
      <c r="B15" s="16" t="s">
        <v>16</v>
      </c>
      <c r="C15" s="63"/>
      <c r="D15" s="64"/>
      <c r="E15" s="65"/>
      <c r="F15" s="61" t="s">
        <v>26</v>
      </c>
      <c r="G15" s="29">
        <f t="shared" si="1"/>
        <v>0</v>
      </c>
      <c r="H15" s="62"/>
    </row>
    <row r="16">
      <c r="A16" s="57" t="s">
        <v>17</v>
      </c>
      <c r="B16" s="16" t="s">
        <v>16</v>
      </c>
      <c r="C16" s="63"/>
      <c r="D16" s="64"/>
      <c r="E16" s="65"/>
      <c r="F16" s="61" t="s">
        <v>26</v>
      </c>
      <c r="G16" s="29">
        <f t="shared" si="1"/>
        <v>0</v>
      </c>
      <c r="H16" s="62"/>
    </row>
    <row r="17">
      <c r="A17" s="57" t="s">
        <v>17</v>
      </c>
      <c r="B17" s="16" t="s">
        <v>16</v>
      </c>
      <c r="C17" s="63"/>
      <c r="D17" s="64"/>
      <c r="E17" s="65"/>
      <c r="F17" s="61" t="s">
        <v>26</v>
      </c>
      <c r="G17" s="29">
        <f t="shared" si="1"/>
        <v>0</v>
      </c>
      <c r="H17" s="62"/>
    </row>
    <row r="18">
      <c r="A18" s="57" t="s">
        <v>17</v>
      </c>
      <c r="B18" s="16" t="s">
        <v>16</v>
      </c>
      <c r="C18" s="63"/>
      <c r="D18" s="64"/>
      <c r="E18" s="65"/>
      <c r="F18" s="61" t="s">
        <v>26</v>
      </c>
      <c r="G18" s="29">
        <f t="shared" si="1"/>
        <v>0</v>
      </c>
      <c r="H18" s="62"/>
    </row>
    <row r="19">
      <c r="A19" s="57" t="s">
        <v>17</v>
      </c>
      <c r="B19" s="16" t="s">
        <v>16</v>
      </c>
      <c r="C19" s="63"/>
      <c r="D19" s="64"/>
      <c r="E19" s="65"/>
      <c r="F19" s="61" t="s">
        <v>26</v>
      </c>
      <c r="G19" s="29">
        <f t="shared" si="1"/>
        <v>0</v>
      </c>
      <c r="H19" s="62"/>
    </row>
    <row r="20">
      <c r="A20" s="57" t="s">
        <v>17</v>
      </c>
      <c r="B20" s="16" t="s">
        <v>16</v>
      </c>
      <c r="C20" s="63"/>
      <c r="D20" s="64"/>
      <c r="E20" s="65"/>
      <c r="F20" s="61" t="s">
        <v>26</v>
      </c>
      <c r="G20" s="29">
        <f t="shared" si="1"/>
        <v>0</v>
      </c>
      <c r="H20" s="62"/>
    </row>
    <row r="21" ht="14.25" customHeight="1">
      <c r="A21" s="40"/>
      <c r="B21" s="40"/>
      <c r="C21" s="40"/>
      <c r="D21" s="11"/>
      <c r="E21" s="11"/>
      <c r="F21" s="11"/>
      <c r="G21" s="11"/>
      <c r="H21" s="11"/>
    </row>
    <row r="22" ht="14.25" customHeight="1">
      <c r="A22" s="41" t="s">
        <v>20</v>
      </c>
      <c r="B22" s="42" t="s">
        <v>21</v>
      </c>
      <c r="C22" s="43" t="s">
        <v>22</v>
      </c>
      <c r="D22" s="11"/>
      <c r="E22" s="11"/>
      <c r="F22" s="11"/>
      <c r="G22" s="11"/>
      <c r="H22" s="11"/>
    </row>
    <row r="23" ht="14.25" customHeight="1">
      <c r="A23" s="44" t="s">
        <v>23</v>
      </c>
      <c r="B23" s="45">
        <f>SUMIF($A$7:$A$20,"W*",$G$7:$G$20)</f>
        <v>1.5</v>
      </c>
      <c r="C23" s="46">
        <f>B23/8</f>
        <v>0.1875</v>
      </c>
      <c r="D23" s="11"/>
      <c r="E23" s="11"/>
      <c r="F23" s="11"/>
      <c r="G23" s="11"/>
      <c r="H23" s="11"/>
    </row>
    <row r="24" ht="14.25" customHeight="1">
      <c r="A24" s="47" t="s">
        <v>24</v>
      </c>
      <c r="B24" s="48">
        <f t="shared" ref="B24:C24" si="2">SUM(B23)</f>
        <v>1.5</v>
      </c>
      <c r="C24" s="49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50"/>
      <c r="D27" s="11"/>
      <c r="E27" s="11"/>
      <c r="F27" s="11"/>
      <c r="G27" s="11"/>
      <c r="H27" s="11"/>
    </row>
    <row r="28" ht="14.25" customHeight="1">
      <c r="A28" s="1"/>
      <c r="B28" s="51"/>
      <c r="C28" s="51"/>
      <c r="D28" s="52"/>
      <c r="E28" s="11"/>
      <c r="F28" s="11"/>
      <c r="G28" s="11"/>
      <c r="H28" s="11"/>
    </row>
    <row r="29" ht="14.25" customHeight="1">
      <c r="A29" s="1"/>
      <c r="B29" s="53"/>
      <c r="C29" s="54"/>
      <c r="D29" s="11"/>
      <c r="E29" s="11"/>
      <c r="F29" s="11"/>
      <c r="G29" s="11"/>
      <c r="H29" s="11"/>
    </row>
    <row r="30" ht="14.25" customHeight="1">
      <c r="A30" s="1"/>
      <c r="B30" s="55"/>
      <c r="D30" s="1"/>
      <c r="E30" s="11"/>
      <c r="F30" s="11"/>
      <c r="G30" s="11"/>
      <c r="H30" s="11"/>
    </row>
    <row r="31" ht="14.25" customHeight="1">
      <c r="A31" s="1"/>
      <c r="B31" s="56"/>
      <c r="C31" s="51"/>
      <c r="D31" s="52"/>
      <c r="E31" s="11"/>
      <c r="F31" s="11"/>
      <c r="G31" s="11"/>
      <c r="H31" s="11"/>
    </row>
    <row r="32" ht="14.25" customHeight="1">
      <c r="A32" s="1"/>
      <c r="B32" s="53" t="s">
        <v>9</v>
      </c>
      <c r="C32" s="54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