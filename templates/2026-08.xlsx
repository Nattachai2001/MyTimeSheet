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0" name="_xlnm._FilterDatabase">'Timesheet - Standard Hours'!$A$6:$H$38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<sst xmlns="http://schemas.openxmlformats.org/spreadsheetml/2006/main" count="170" uniqueCount="27">
  <si>
    <t> Timesheet - Standard Hours</t>
  </si>
  <si>
    <t xml:space="preserve">Period : </t>
  </si>
  <si>
    <t>2026 Aug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</si>
  <si>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</si>
  <si>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</si>
  <si>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</si>
  <si>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</si>
  <si>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</si>
  <si>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</si>
  <si>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</si>
  <si>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</si>
  <si>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</si>
  <si>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</si>
  <si>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</si>
  <si>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</si>
  <si>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H1 - Holiday</t>
  </si>
  <si>
    <t>Junior QA Consult</t>
  </si>
  <si>
    <t>W1 - Test Execution</t>
  </si>
  <si>
    <t>YES</t>
  </si>
  <si>
    <t>Execute LMS test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</si>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</sst>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Tahoma"/>
    </font>
    <font>
      <sz val="11.0"/>
      <color theme="1"/>
      <name val="Arial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3" numFmtId="165" xfId="0" applyAlignment="1" applyBorder="1" applyFont="1" applyNumberFormat="1">
      <alignment horizontal="center" vertical="center"/>
    </xf>
    <xf borderId="5" fillId="5" fontId="13" numFmtId="165" xfId="0" applyAlignment="1" applyBorder="1" applyFont="1" applyNumberFormat="1">
      <alignment horizontal="center" vertical="center"/>
    </xf>
    <xf borderId="5" fillId="5" fontId="13" numFmtId="20" xfId="0" applyAlignment="1" applyBorder="1" applyFont="1" applyNumberFormat="1">
      <alignment horizontal="center" vertical="center"/>
    </xf>
    <xf borderId="5" fillId="5" fontId="13" numFmtId="2" xfId="0" applyAlignment="1" applyBorder="1" applyFont="1" applyNumberFormat="1">
      <alignment horizontal="center" vertical="center"/>
    </xf>
    <xf borderId="7" fillId="5" fontId="13" numFmtId="2" xfId="0" applyAlignment="1" applyBorder="1" applyFont="1" applyNumberFormat="1">
      <alignment vertical="center"/>
    </xf>
    <xf borderId="0" fillId="0" fontId="13" numFmtId="0" xfId="0" applyAlignment="1" applyFont="1">
      <alignment vertical="bottom"/>
    </xf>
    <xf borderId="6" fillId="6" fontId="11" numFmtId="0" xfId="0" applyAlignment="1" applyBorder="1" applyFill="1" applyFont="1">
      <alignment horizontal="center" shrinkToFit="0" vertical="center" wrapText="1"/>
    </xf>
    <xf borderId="6" fillId="6" fontId="12" numFmtId="164" xfId="0" applyAlignment="1" applyBorder="1" applyFont="1" applyNumberFormat="1">
      <alignment horizontal="center" vertical="center"/>
    </xf>
    <xf borderId="6" fillId="6" fontId="12" numFmtId="165" xfId="0" applyAlignment="1" applyBorder="1" applyFont="1" applyNumberFormat="1">
      <alignment horizontal="center" vertical="center"/>
    </xf>
    <xf borderId="5" fillId="6" fontId="12" numFmtId="165" xfId="0" applyAlignment="1" applyBorder="1" applyFont="1" applyNumberFormat="1">
      <alignment horizontal="center" vertical="center"/>
    </xf>
    <xf borderId="5" fillId="6" fontId="12" numFmtId="20" xfId="0" applyAlignment="1" applyBorder="1" applyFont="1" applyNumberFormat="1">
      <alignment horizontal="center" vertical="center"/>
    </xf>
    <xf borderId="5" fillId="7" fontId="12" numFmtId="2" xfId="0" applyAlignment="1" applyBorder="1" applyFill="1" applyFont="1" applyNumberFormat="1">
      <alignment horizontal="center" vertical="center"/>
    </xf>
    <xf borderId="7" fillId="6" fontId="14" numFmtId="2" xfId="0" applyAlignment="1" applyBorder="1" applyFont="1" applyNumberFormat="1">
      <alignment shrinkToFit="0" vertical="center" wrapText="1"/>
    </xf>
    <xf borderId="6" fillId="6" fontId="13" numFmtId="165" xfId="0" applyAlignment="1" applyBorder="1" applyFont="1" applyNumberFormat="1">
      <alignment horizontal="center" vertical="center"/>
    </xf>
    <xf borderId="5" fillId="6" fontId="13" numFmtId="165" xfId="0" applyAlignment="1" applyBorder="1" applyFont="1" applyNumberFormat="1">
      <alignment horizontal="center" vertical="center"/>
    </xf>
    <xf borderId="7" fillId="6" fontId="13" numFmtId="0" xfId="0" applyAlignment="1" applyBorder="1" applyFont="1">
      <alignment vertical="center"/>
    </xf>
    <xf borderId="1" fillId="6" fontId="13" numFmtId="0" xfId="0" applyAlignment="1" applyBorder="1" applyFont="1">
      <alignment vertical="bottom"/>
    </xf>
    <xf borderId="7" fillId="6" fontId="13" numFmtId="2" xfId="0" applyAlignment="1" applyBorder="1" applyFont="1" applyNumberFormat="1">
      <alignment vertical="center"/>
    </xf>
    <xf borderId="6" fillId="5" fontId="11" numFmtId="0" xfId="0" applyAlignment="1" applyBorder="1" applyFont="1">
      <alignment horizontal="center" shrinkToFit="0" vertical="center" wrapText="1"/>
    </xf>
    <xf borderId="5" fillId="6" fontId="12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7" fillId="4" fontId="14" numFmtId="2" xfId="0" applyAlignment="1" applyBorder="1" applyFont="1" applyNumberFormat="1">
      <alignment horizontal="left" shrinkToFit="0" vertical="center" wrapText="1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46235.0</v>
      </c>
      <c r="D7" s="18"/>
      <c r="E7" s="19"/>
      <c r="F7" s="20"/>
      <c r="G7" s="21"/>
      <c r="H7" s="2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5" t="s">
        <v>15</v>
      </c>
      <c r="B8" s="16" t="s">
        <v>16</v>
      </c>
      <c r="C8" s="17">
        <v>46236.0</v>
      </c>
      <c r="D8" s="18"/>
      <c r="E8" s="19"/>
      <c r="F8" s="20"/>
      <c r="G8" s="21"/>
      <c r="H8" s="22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4" t="s">
        <v>17</v>
      </c>
      <c r="B9" s="16" t="s">
        <v>16</v>
      </c>
      <c r="C9" s="25">
        <v>46237.0</v>
      </c>
      <c r="D9" s="26">
        <v>0.375</v>
      </c>
      <c r="E9" s="27">
        <v>0.75</v>
      </c>
      <c r="F9" s="28" t="s">
        <v>18</v>
      </c>
      <c r="G9" s="29">
        <f t="shared" ref="G9:G13" si="1">MIN(MAX(IF(F9="YES", ((E9-D9) * 24) - 1, (E9-D9) * 24), 0), 8)</f>
        <v>8</v>
      </c>
      <c r="H9" s="30" t="s">
        <v>19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4" t="s">
        <v>17</v>
      </c>
      <c r="B10" s="16" t="s">
        <v>16</v>
      </c>
      <c r="C10" s="25">
        <v>46238.0</v>
      </c>
      <c r="D10" s="31"/>
      <c r="E10" s="32"/>
      <c r="F10" s="28" t="s">
        <v>18</v>
      </c>
      <c r="G10" s="29">
        <f t="shared" si="1"/>
        <v>0</v>
      </c>
      <c r="H10" s="3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4" t="s">
        <v>17</v>
      </c>
      <c r="B11" s="16" t="s">
        <v>16</v>
      </c>
      <c r="C11" s="25">
        <v>46239.0</v>
      </c>
      <c r="D11" s="31"/>
      <c r="E11" s="32"/>
      <c r="F11" s="28" t="s">
        <v>18</v>
      </c>
      <c r="G11" s="29">
        <f t="shared" si="1"/>
        <v>0</v>
      </c>
      <c r="H11" s="3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4" t="s">
        <v>17</v>
      </c>
      <c r="B12" s="16" t="s">
        <v>16</v>
      </c>
      <c r="C12" s="25">
        <v>46240.0</v>
      </c>
      <c r="D12" s="31"/>
      <c r="E12" s="32"/>
      <c r="F12" s="28" t="s">
        <v>18</v>
      </c>
      <c r="G12" s="29">
        <f t="shared" si="1"/>
        <v>0</v>
      </c>
      <c r="H12" s="33"/>
      <c r="I12" s="34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24" t="s">
        <v>17</v>
      </c>
      <c r="B13" s="16" t="s">
        <v>16</v>
      </c>
      <c r="C13" s="25">
        <v>46241.0</v>
      </c>
      <c r="D13" s="31"/>
      <c r="E13" s="32"/>
      <c r="F13" s="28" t="s">
        <v>18</v>
      </c>
      <c r="G13" s="29">
        <f t="shared" si="1"/>
        <v>0</v>
      </c>
      <c r="H13" s="3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5" t="s">
        <v>15</v>
      </c>
      <c r="B14" s="16" t="s">
        <v>16</v>
      </c>
      <c r="C14" s="17">
        <v>46242.0</v>
      </c>
      <c r="D14" s="18"/>
      <c r="E14" s="19"/>
      <c r="F14" s="20"/>
      <c r="G14" s="21"/>
      <c r="H14" s="22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5" t="s">
        <v>15</v>
      </c>
      <c r="B15" s="16" t="s">
        <v>16</v>
      </c>
      <c r="C15" s="17">
        <v>46243.0</v>
      </c>
      <c r="D15" s="18"/>
      <c r="E15" s="19"/>
      <c r="F15" s="20"/>
      <c r="G15" s="21"/>
      <c r="H15" s="22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4" t="s">
        <v>17</v>
      </c>
      <c r="B16" s="16" t="s">
        <v>16</v>
      </c>
      <c r="C16" s="25">
        <v>46244.0</v>
      </c>
      <c r="D16" s="31"/>
      <c r="E16" s="32"/>
      <c r="F16" s="28" t="s">
        <v>18</v>
      </c>
      <c r="G16" s="29">
        <f t="shared" ref="G16:G17" si="2">MIN(MAX(IF(F16="YES", ((E16-D16) * 24) - 1, (E16-D16) * 24), 0), 8)</f>
        <v>0</v>
      </c>
      <c r="H16" s="35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4" t="s">
        <v>17</v>
      </c>
      <c r="B17" s="16" t="s">
        <v>16</v>
      </c>
      <c r="C17" s="25">
        <v>46245.0</v>
      </c>
      <c r="D17" s="31"/>
      <c r="E17" s="32"/>
      <c r="F17" s="28" t="s">
        <v>18</v>
      </c>
      <c r="G17" s="29">
        <f t="shared" si="2"/>
        <v>0</v>
      </c>
      <c r="H17" s="35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5" t="s">
        <v>15</v>
      </c>
      <c r="B18" s="16" t="s">
        <v>16</v>
      </c>
      <c r="C18" s="17">
        <v>46246.0</v>
      </c>
      <c r="D18" s="18"/>
      <c r="E18" s="19"/>
      <c r="F18" s="20"/>
      <c r="G18" s="21"/>
      <c r="H18" s="2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4" t="s">
        <v>17</v>
      </c>
      <c r="B19" s="16" t="s">
        <v>16</v>
      </c>
      <c r="C19" s="25">
        <v>46247.0</v>
      </c>
      <c r="D19" s="31"/>
      <c r="E19" s="32"/>
      <c r="F19" s="28" t="s">
        <v>18</v>
      </c>
      <c r="G19" s="29">
        <f t="shared" ref="G19:G20" si="3">MIN(MAX(IF(F19="YES", ((E19-D19) * 24) - 1, (E19-D19) * 24), 0), 8)</f>
        <v>0</v>
      </c>
      <c r="H19" s="3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4" t="s">
        <v>17</v>
      </c>
      <c r="B20" s="16" t="s">
        <v>16</v>
      </c>
      <c r="C20" s="25">
        <v>46248.0</v>
      </c>
      <c r="D20" s="31"/>
      <c r="E20" s="32"/>
      <c r="F20" s="28" t="s">
        <v>18</v>
      </c>
      <c r="G20" s="29">
        <f t="shared" si="3"/>
        <v>0</v>
      </c>
      <c r="H20" s="3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15" t="s">
        <v>15</v>
      </c>
      <c r="B21" s="16" t="s">
        <v>16</v>
      </c>
      <c r="C21" s="17">
        <v>46249.0</v>
      </c>
      <c r="D21" s="18"/>
      <c r="E21" s="19"/>
      <c r="F21" s="20"/>
      <c r="G21" s="21"/>
      <c r="H21" s="2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15" t="s">
        <v>15</v>
      </c>
      <c r="B22" s="16" t="s">
        <v>16</v>
      </c>
      <c r="C22" s="17">
        <v>46250.0</v>
      </c>
      <c r="D22" s="18"/>
      <c r="E22" s="19"/>
      <c r="F22" s="20"/>
      <c r="G22" s="21"/>
      <c r="H22" s="2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4" t="s">
        <v>17</v>
      </c>
      <c r="B23" s="16" t="s">
        <v>16</v>
      </c>
      <c r="C23" s="25">
        <v>46251.0</v>
      </c>
      <c r="D23" s="31"/>
      <c r="E23" s="32"/>
      <c r="F23" s="28" t="s">
        <v>18</v>
      </c>
      <c r="G23" s="29">
        <f t="shared" ref="G23:G27" si="4">MIN(MAX(IF(F23="YES", ((E23-D23) * 24) - 1, (E23-D23) * 24), 0), 8)</f>
        <v>0</v>
      </c>
      <c r="H23" s="35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4" t="s">
        <v>17</v>
      </c>
      <c r="B24" s="16" t="s">
        <v>16</v>
      </c>
      <c r="C24" s="25">
        <v>46252.0</v>
      </c>
      <c r="D24" s="31"/>
      <c r="E24" s="32"/>
      <c r="F24" s="28" t="s">
        <v>18</v>
      </c>
      <c r="G24" s="29">
        <f t="shared" si="4"/>
        <v>0</v>
      </c>
      <c r="H24" s="35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4" t="s">
        <v>17</v>
      </c>
      <c r="B25" s="16" t="s">
        <v>16</v>
      </c>
      <c r="C25" s="25">
        <v>46253.0</v>
      </c>
      <c r="D25" s="31"/>
      <c r="E25" s="32"/>
      <c r="F25" s="28" t="s">
        <v>18</v>
      </c>
      <c r="G25" s="29">
        <f t="shared" si="4"/>
        <v>0</v>
      </c>
      <c r="H25" s="3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4" t="s">
        <v>17</v>
      </c>
      <c r="B26" s="16" t="s">
        <v>16</v>
      </c>
      <c r="C26" s="25">
        <v>46254.0</v>
      </c>
      <c r="D26" s="31"/>
      <c r="E26" s="32"/>
      <c r="F26" s="28" t="s">
        <v>18</v>
      </c>
      <c r="G26" s="29">
        <f t="shared" si="4"/>
        <v>0</v>
      </c>
      <c r="H26" s="35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24" t="s">
        <v>17</v>
      </c>
      <c r="B27" s="16" t="s">
        <v>16</v>
      </c>
      <c r="C27" s="25">
        <v>46255.0</v>
      </c>
      <c r="D27" s="31"/>
      <c r="E27" s="32"/>
      <c r="F27" s="28" t="s">
        <v>18</v>
      </c>
      <c r="G27" s="29">
        <f t="shared" si="4"/>
        <v>0</v>
      </c>
      <c r="H27" s="35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6" t="s">
        <v>15</v>
      </c>
      <c r="B28" s="16" t="s">
        <v>16</v>
      </c>
      <c r="C28" s="17">
        <v>46256.0</v>
      </c>
      <c r="D28" s="18"/>
      <c r="E28" s="19"/>
      <c r="F28" s="20"/>
      <c r="G28" s="21"/>
      <c r="H28" s="2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15" t="s">
        <v>15</v>
      </c>
      <c r="B29" s="16" t="s">
        <v>16</v>
      </c>
      <c r="C29" s="17">
        <v>46257.0</v>
      </c>
      <c r="D29" s="18"/>
      <c r="E29" s="19"/>
      <c r="F29" s="20"/>
      <c r="G29" s="21"/>
      <c r="H29" s="2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4" t="s">
        <v>17</v>
      </c>
      <c r="B30" s="16" t="s">
        <v>16</v>
      </c>
      <c r="C30" s="25">
        <v>46258.0</v>
      </c>
      <c r="D30" s="31"/>
      <c r="E30" s="32"/>
      <c r="F30" s="28" t="s">
        <v>18</v>
      </c>
      <c r="G30" s="29">
        <f t="shared" ref="G30:G34" si="5">MIN(MAX(IF(F30="YES", ((E30-D30) * 24) - 1, (E30-D30) * 24), 0), 8)</f>
        <v>0</v>
      </c>
      <c r="H30" s="35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4" t="s">
        <v>17</v>
      </c>
      <c r="B31" s="16" t="s">
        <v>16</v>
      </c>
      <c r="C31" s="25">
        <v>46259.0</v>
      </c>
      <c r="D31" s="31"/>
      <c r="E31" s="32"/>
      <c r="F31" s="28" t="s">
        <v>18</v>
      </c>
      <c r="G31" s="29">
        <f t="shared" si="5"/>
        <v>0</v>
      </c>
      <c r="H31" s="35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4" t="s">
        <v>17</v>
      </c>
      <c r="B32" s="16" t="s">
        <v>16</v>
      </c>
      <c r="C32" s="25">
        <v>46260.0</v>
      </c>
      <c r="D32" s="31"/>
      <c r="E32" s="32"/>
      <c r="F32" s="28" t="s">
        <v>18</v>
      </c>
      <c r="G32" s="29">
        <f t="shared" si="5"/>
        <v>0</v>
      </c>
      <c r="H32" s="35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4" t="s">
        <v>17</v>
      </c>
      <c r="B33" s="16" t="s">
        <v>16</v>
      </c>
      <c r="C33" s="25">
        <v>46261.0</v>
      </c>
      <c r="D33" s="31"/>
      <c r="E33" s="32"/>
      <c r="F33" s="28" t="s">
        <v>18</v>
      </c>
      <c r="G33" s="29">
        <f t="shared" si="5"/>
        <v>0</v>
      </c>
      <c r="H33" s="3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4" t="s">
        <v>17</v>
      </c>
      <c r="B34" s="16" t="s">
        <v>16</v>
      </c>
      <c r="C34" s="25">
        <v>46262.0</v>
      </c>
      <c r="D34" s="31"/>
      <c r="E34" s="32"/>
      <c r="F34" s="28" t="s">
        <v>18</v>
      </c>
      <c r="G34" s="29">
        <f t="shared" si="5"/>
        <v>0</v>
      </c>
      <c r="H34" s="3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36" t="s">
        <v>15</v>
      </c>
      <c r="B35" s="16" t="s">
        <v>16</v>
      </c>
      <c r="C35" s="17">
        <v>46263.0</v>
      </c>
      <c r="D35" s="18"/>
      <c r="E35" s="19"/>
      <c r="F35" s="20"/>
      <c r="G35" s="21"/>
      <c r="H35" s="2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15" t="s">
        <v>15</v>
      </c>
      <c r="B36" s="16" t="s">
        <v>16</v>
      </c>
      <c r="C36" s="17">
        <v>46264.0</v>
      </c>
      <c r="D36" s="18"/>
      <c r="E36" s="19"/>
      <c r="F36" s="20"/>
      <c r="G36" s="21"/>
      <c r="H36" s="22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4" t="s">
        <v>17</v>
      </c>
      <c r="B37" s="16" t="s">
        <v>16</v>
      </c>
      <c r="C37" s="25">
        <v>46265.0</v>
      </c>
      <c r="D37" s="31"/>
      <c r="E37" s="32"/>
      <c r="F37" s="37" t="s">
        <v>18</v>
      </c>
      <c r="G37" s="29">
        <f>MIN(MAX(IF(F37="YES", ((E37-D37) * 24) - 1, (E37-D37) * 24), 0), 8)</f>
        <v>0</v>
      </c>
      <c r="H37" s="35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38"/>
      <c r="B38" s="38"/>
      <c r="C38" s="38"/>
      <c r="D38" s="11"/>
      <c r="E38" s="11"/>
      <c r="F38" s="11"/>
      <c r="G38" s="11"/>
      <c r="H38" s="11"/>
    </row>
    <row r="39" ht="14.25" customHeight="1">
      <c r="A39" s="39" t="s">
        <v>20</v>
      </c>
      <c r="B39" s="40" t="s">
        <v>21</v>
      </c>
      <c r="C39" s="41" t="s">
        <v>22</v>
      </c>
      <c r="D39" s="11"/>
      <c r="E39" s="11"/>
      <c r="F39" s="11"/>
      <c r="G39" s="11"/>
      <c r="H39" s="11"/>
    </row>
    <row r="40" ht="14.25" customHeight="1">
      <c r="A40" s="42" t="s">
        <v>23</v>
      </c>
      <c r="B40" s="43">
        <f>SUMIF($A$7:$A$37,"W*",$G$7:$G$37)</f>
        <v>8</v>
      </c>
      <c r="C40" s="44">
        <f>B40/8</f>
        <v>1</v>
      </c>
      <c r="D40" s="11"/>
      <c r="E40" s="11"/>
      <c r="F40" s="11"/>
      <c r="G40" s="11"/>
      <c r="H40" s="11"/>
    </row>
    <row r="41" ht="14.25" customHeight="1">
      <c r="A41" s="45" t="s">
        <v>24</v>
      </c>
      <c r="B41" s="46">
        <f t="shared" ref="B41:C41" si="6">SUM(B40)</f>
        <v>8</v>
      </c>
      <c r="C41" s="47">
        <f t="shared" si="6"/>
        <v>1</v>
      </c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48"/>
      <c r="D44" s="11"/>
      <c r="E44" s="11"/>
      <c r="F44" s="11"/>
      <c r="G44" s="11"/>
      <c r="H44" s="11"/>
    </row>
    <row r="45" ht="14.25" customHeight="1">
      <c r="A45" s="1"/>
      <c r="B45" s="49"/>
      <c r="C45" s="49"/>
      <c r="D45" s="50"/>
      <c r="E45" s="11"/>
      <c r="F45" s="11"/>
      <c r="G45" s="11"/>
      <c r="H45" s="11"/>
    </row>
    <row r="46" ht="14.25" customHeight="1">
      <c r="A46" s="1"/>
      <c r="B46" s="51"/>
      <c r="C46" s="52"/>
      <c r="D46" s="11"/>
      <c r="E46" s="11"/>
      <c r="F46" s="11"/>
      <c r="G46" s="11"/>
      <c r="H46" s="11"/>
    </row>
    <row r="47" ht="14.25" customHeight="1">
      <c r="A47" s="1"/>
      <c r="B47" s="53"/>
      <c r="D47" s="1"/>
      <c r="E47" s="11"/>
      <c r="F47" s="11"/>
      <c r="G47" s="11"/>
      <c r="H47" s="11"/>
    </row>
    <row r="48" ht="14.25" customHeight="1">
      <c r="A48" s="1"/>
      <c r="B48" s="54"/>
      <c r="C48" s="49"/>
      <c r="D48" s="50"/>
      <c r="E48" s="11"/>
      <c r="F48" s="11"/>
      <c r="G48" s="11"/>
      <c r="H48" s="11"/>
    </row>
    <row r="49" ht="14.25" customHeight="1">
      <c r="A49" s="1"/>
      <c r="B49" s="51" t="s">
        <v>9</v>
      </c>
      <c r="C49" s="52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38"/>
  <mergeCells count="6">
    <mergeCell ref="B2:H2"/>
    <mergeCell ref="B44:C45"/>
    <mergeCell ref="B46:C46"/>
    <mergeCell ref="B47:C47"/>
    <mergeCell ref="B48:C48"/>
    <mergeCell ref="B49:C49"/>
  </mergeCells>
  <conditionalFormatting sqref="A7:H37">
    <cfRule type="expression" dxfId="0" priority="1" stopIfTrue="1">
      <formula>OR(LEFT($A7, 2)="H1", LEFT($A7, 2)="L1", LEFT($A7, 2)="L2")</formula>
    </cfRule>
  </conditionalFormatting>
  <conditionalFormatting sqref="G7:G37">
    <cfRule type="expression" dxfId="1" priority="2" stopIfTrue="1">
      <formula>OR(LEFT($A7, 2)="W1")</formula>
    </cfRule>
  </conditionalFormatting>
  <dataValidations>
    <dataValidation type="list" allowBlank="1" showErrorMessage="1" sqref="F7:F37">
      <formula1>"YES,NO"</formula1>
    </dataValidation>
    <dataValidation type="list" allowBlank="1" showErrorMessage="1" sqref="A7:A37">
      <formula1>"H1 - Holiday,W1 - Test Execution,L1 - Annual Leave,L2 - Sick Leave"</formula1>
    </dataValidation>
    <dataValidation type="list" allowBlank="1" showErrorMessage="1" sqref="B7:B37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5" t="s">
        <v>17</v>
      </c>
      <c r="B7" s="16" t="s">
        <v>16</v>
      </c>
      <c r="C7" s="56">
        <v>46237.0</v>
      </c>
      <c r="D7" s="57">
        <v>0.7708333333333334</v>
      </c>
      <c r="E7" s="58">
        <v>0.8333333333333334</v>
      </c>
      <c r="F7" s="59" t="s">
        <v>26</v>
      </c>
      <c r="G7" s="29">
        <f t="shared" ref="G7:G20" si="1">MAX(IF(F7="YES", ((E7-D7) * 24) - 1, (E7-D7) * 24), 0)</f>
        <v>1.5</v>
      </c>
      <c r="H7" s="60" t="s">
        <v>19</v>
      </c>
    </row>
    <row r="8">
      <c r="A8" s="55" t="s">
        <v>17</v>
      </c>
      <c r="B8" s="16" t="s">
        <v>16</v>
      </c>
      <c r="C8" s="61"/>
      <c r="D8" s="62"/>
      <c r="E8" s="63"/>
      <c r="F8" s="59" t="s">
        <v>26</v>
      </c>
      <c r="G8" s="29">
        <f t="shared" si="1"/>
        <v>0</v>
      </c>
      <c r="H8" s="60"/>
    </row>
    <row r="9" ht="15.75" customHeight="1">
      <c r="A9" s="55" t="s">
        <v>17</v>
      </c>
      <c r="B9" s="16" t="s">
        <v>16</v>
      </c>
      <c r="C9" s="61"/>
      <c r="D9" s="62"/>
      <c r="E9" s="63"/>
      <c r="F9" s="59" t="s">
        <v>26</v>
      </c>
      <c r="G9" s="29">
        <f t="shared" si="1"/>
        <v>0</v>
      </c>
      <c r="H9" s="64"/>
    </row>
    <row r="10" ht="14.25" customHeight="1">
      <c r="A10" s="55" t="s">
        <v>17</v>
      </c>
      <c r="B10" s="16" t="s">
        <v>16</v>
      </c>
      <c r="C10" s="61"/>
      <c r="D10" s="62"/>
      <c r="E10" s="63"/>
      <c r="F10" s="59" t="s">
        <v>26</v>
      </c>
      <c r="G10" s="29">
        <f t="shared" si="1"/>
        <v>0</v>
      </c>
      <c r="H10" s="64"/>
    </row>
    <row r="11">
      <c r="A11" s="55" t="s">
        <v>17</v>
      </c>
      <c r="B11" s="16" t="s">
        <v>16</v>
      </c>
      <c r="C11" s="61"/>
      <c r="D11" s="62"/>
      <c r="E11" s="63"/>
      <c r="F11" s="59" t="s">
        <v>26</v>
      </c>
      <c r="G11" s="29">
        <f t="shared" si="1"/>
        <v>0</v>
      </c>
      <c r="H11" s="60"/>
    </row>
    <row r="12">
      <c r="A12" s="55" t="s">
        <v>17</v>
      </c>
      <c r="B12" s="16" t="s">
        <v>16</v>
      </c>
      <c r="C12" s="61"/>
      <c r="D12" s="62"/>
      <c r="E12" s="63"/>
      <c r="F12" s="59" t="s">
        <v>26</v>
      </c>
      <c r="G12" s="29">
        <f t="shared" si="1"/>
        <v>0</v>
      </c>
      <c r="H12" s="60"/>
    </row>
    <row r="13">
      <c r="A13" s="55" t="s">
        <v>17</v>
      </c>
      <c r="B13" s="16" t="s">
        <v>16</v>
      </c>
      <c r="C13" s="61"/>
      <c r="D13" s="62"/>
      <c r="E13" s="63"/>
      <c r="F13" s="59" t="s">
        <v>26</v>
      </c>
      <c r="G13" s="29">
        <f t="shared" si="1"/>
        <v>0</v>
      </c>
      <c r="H13" s="60"/>
    </row>
    <row r="14">
      <c r="A14" s="55" t="s">
        <v>17</v>
      </c>
      <c r="B14" s="16" t="s">
        <v>16</v>
      </c>
      <c r="C14" s="61"/>
      <c r="D14" s="62"/>
      <c r="E14" s="63"/>
      <c r="F14" s="59" t="s">
        <v>26</v>
      </c>
      <c r="G14" s="29">
        <f t="shared" si="1"/>
        <v>0</v>
      </c>
      <c r="H14" s="60"/>
    </row>
    <row r="15">
      <c r="A15" s="55" t="s">
        <v>17</v>
      </c>
      <c r="B15" s="16" t="s">
        <v>16</v>
      </c>
      <c r="C15" s="61"/>
      <c r="D15" s="62"/>
      <c r="E15" s="63"/>
      <c r="F15" s="59" t="s">
        <v>26</v>
      </c>
      <c r="G15" s="29">
        <f t="shared" si="1"/>
        <v>0</v>
      </c>
      <c r="H15" s="60"/>
    </row>
    <row r="16">
      <c r="A16" s="55" t="s">
        <v>17</v>
      </c>
      <c r="B16" s="16" t="s">
        <v>16</v>
      </c>
      <c r="C16" s="61"/>
      <c r="D16" s="62"/>
      <c r="E16" s="63"/>
      <c r="F16" s="59" t="s">
        <v>26</v>
      </c>
      <c r="G16" s="29">
        <f t="shared" si="1"/>
        <v>0</v>
      </c>
      <c r="H16" s="60"/>
    </row>
    <row r="17">
      <c r="A17" s="55" t="s">
        <v>17</v>
      </c>
      <c r="B17" s="16" t="s">
        <v>16</v>
      </c>
      <c r="C17" s="61"/>
      <c r="D17" s="62"/>
      <c r="E17" s="63"/>
      <c r="F17" s="59" t="s">
        <v>26</v>
      </c>
      <c r="G17" s="29">
        <f t="shared" si="1"/>
        <v>0</v>
      </c>
      <c r="H17" s="60"/>
    </row>
    <row r="18">
      <c r="A18" s="55" t="s">
        <v>17</v>
      </c>
      <c r="B18" s="16" t="s">
        <v>16</v>
      </c>
      <c r="C18" s="61"/>
      <c r="D18" s="62"/>
      <c r="E18" s="63"/>
      <c r="F18" s="59" t="s">
        <v>26</v>
      </c>
      <c r="G18" s="29">
        <f t="shared" si="1"/>
        <v>0</v>
      </c>
      <c r="H18" s="60"/>
    </row>
    <row r="19">
      <c r="A19" s="55" t="s">
        <v>17</v>
      </c>
      <c r="B19" s="16" t="s">
        <v>16</v>
      </c>
      <c r="C19" s="61"/>
      <c r="D19" s="62"/>
      <c r="E19" s="63"/>
      <c r="F19" s="59" t="s">
        <v>26</v>
      </c>
      <c r="G19" s="29">
        <f t="shared" si="1"/>
        <v>0</v>
      </c>
      <c r="H19" s="60"/>
    </row>
    <row r="20">
      <c r="A20" s="55" t="s">
        <v>17</v>
      </c>
      <c r="B20" s="16" t="s">
        <v>16</v>
      </c>
      <c r="C20" s="61"/>
      <c r="D20" s="62"/>
      <c r="E20" s="63"/>
      <c r="F20" s="59" t="s">
        <v>26</v>
      </c>
      <c r="G20" s="29">
        <f t="shared" si="1"/>
        <v>0</v>
      </c>
      <c r="H20" s="60"/>
    </row>
    <row r="21" ht="14.25" customHeight="1">
      <c r="A21" s="38"/>
      <c r="B21" s="38"/>
      <c r="C21" s="38"/>
      <c r="D21" s="11"/>
      <c r="E21" s="11"/>
      <c r="F21" s="11"/>
      <c r="G21" s="11"/>
      <c r="H21" s="11"/>
    </row>
    <row r="22" ht="14.25" customHeight="1">
      <c r="A22" s="39" t="s">
        <v>20</v>
      </c>
      <c r="B22" s="40" t="s">
        <v>21</v>
      </c>
      <c r="C22" s="41" t="s">
        <v>22</v>
      </c>
      <c r="D22" s="11"/>
      <c r="E22" s="11"/>
      <c r="F22" s="11"/>
      <c r="G22" s="11"/>
      <c r="H22" s="11"/>
    </row>
    <row r="23" ht="14.25" customHeight="1">
      <c r="A23" s="42" t="s">
        <v>23</v>
      </c>
      <c r="B23" s="43">
        <f>SUMIF($A$7:$A$20,"W*",$G$7:$G$20)</f>
        <v>1.5</v>
      </c>
      <c r="C23" s="44">
        <f>B23/8</f>
        <v>0.1875</v>
      </c>
      <c r="D23" s="11"/>
      <c r="E23" s="11"/>
      <c r="F23" s="11"/>
      <c r="G23" s="11"/>
      <c r="H23" s="11"/>
    </row>
    <row r="24" ht="14.25" customHeight="1">
      <c r="A24" s="45" t="s">
        <v>24</v>
      </c>
      <c r="B24" s="46">
        <f t="shared" ref="B24:C24" si="2">SUM(B23)</f>
        <v>1.5</v>
      </c>
      <c r="C24" s="47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48"/>
      <c r="D27" s="11"/>
      <c r="E27" s="11"/>
      <c r="F27" s="11"/>
      <c r="G27" s="11"/>
      <c r="H27" s="11"/>
    </row>
    <row r="28" ht="14.25" customHeight="1">
      <c r="A28" s="1"/>
      <c r="B28" s="49"/>
      <c r="C28" s="49"/>
      <c r="D28" s="50"/>
      <c r="E28" s="11"/>
      <c r="F28" s="11"/>
      <c r="G28" s="11"/>
      <c r="H28" s="11"/>
    </row>
    <row r="29" ht="14.25" customHeight="1">
      <c r="A29" s="1"/>
      <c r="B29" s="51"/>
      <c r="C29" s="52"/>
      <c r="D29" s="11"/>
      <c r="E29" s="11"/>
      <c r="F29" s="11"/>
      <c r="G29" s="11"/>
      <c r="H29" s="11"/>
    </row>
    <row r="30" ht="14.25" customHeight="1">
      <c r="A30" s="1"/>
      <c r="B30" s="53"/>
      <c r="D30" s="1"/>
      <c r="E30" s="11"/>
      <c r="F30" s="11"/>
      <c r="G30" s="11"/>
      <c r="H30" s="11"/>
    </row>
    <row r="31" ht="14.25" customHeight="1">
      <c r="A31" s="1"/>
      <c r="B31" s="54"/>
      <c r="C31" s="49"/>
      <c r="D31" s="50"/>
      <c r="E31" s="11"/>
      <c r="F31" s="11"/>
      <c r="G31" s="11"/>
      <c r="H31" s="11"/>
    </row>
    <row r="32" ht="14.25" customHeight="1">
      <c r="A32" s="1"/>
      <c r="B32" s="51" t="s">
        <v>9</v>
      </c>
      <c r="C32" s="52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