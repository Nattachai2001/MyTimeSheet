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0" name="_xlnm._FilterDatabase">'Timesheet - Standard Hours'!$A$6:$H$38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<sst xmlns="http://schemas.openxmlformats.org/spreadsheetml/2006/main" count="170" uniqueCount="27">
  <si>
    <t> Timesheet - Standard Hours</t>
  </si>
  <si>
    <t xml:space="preserve">Period : </t>
  </si>
  <si>
    <t>2026 Dec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</si>
  <si>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</si>
  <si>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</si>
  <si>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</si>
  <si>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</si>
  <si>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</si>
  <si>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</si>
  <si>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</si>
  <si>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</si>
  <si>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</si>
  <si>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</si>
  <si>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</si>
  <si>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</si>
  <si>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W1 - Test Execution</t>
  </si>
  <si>
    <t>Junior QA Consult</t>
  </si>
  <si>
    <t>YES</t>
  </si>
  <si>
    <t>Execute LMS test</t>
  </si>
  <si>
    <t>H1 - Holiday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</si>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</sst>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Tahoma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2" numFmtId="165" xfId="0" applyAlignment="1" applyBorder="1" applyFont="1" applyNumberFormat="1">
      <alignment horizontal="center" vertical="center"/>
    </xf>
    <xf borderId="5" fillId="5" fontId="12" numFmtId="165" xfId="0" applyAlignment="1" applyBorder="1" applyFont="1" applyNumberFormat="1">
      <alignment horizontal="center" vertical="center"/>
    </xf>
    <xf borderId="5" fillId="5" fontId="12" numFmtId="20" xfId="0" applyAlignment="1" applyBorder="1" applyFont="1" applyNumberFormat="1">
      <alignment horizontal="center" vertical="center"/>
    </xf>
    <xf borderId="5" fillId="6" fontId="12" numFmtId="2" xfId="0" applyAlignment="1" applyBorder="1" applyFill="1" applyFont="1" applyNumberFormat="1">
      <alignment horizontal="center" vertical="center"/>
    </xf>
    <xf borderId="7" fillId="5" fontId="13" numFmtId="2" xfId="0" applyAlignment="1" applyBorder="1" applyFont="1" applyNumberFormat="1">
      <alignment shrinkToFit="0" wrapText="1"/>
    </xf>
    <xf borderId="0" fillId="0" fontId="14" numFmtId="0" xfId="0" applyAlignment="1" applyFont="1">
      <alignment vertical="bottom"/>
    </xf>
    <xf borderId="6" fillId="5" fontId="14" numFmtId="165" xfId="0" applyAlignment="1" applyBorder="1" applyFont="1" applyNumberFormat="1">
      <alignment horizontal="center" vertical="center"/>
    </xf>
    <xf borderId="5" fillId="5" fontId="14" numFmtId="165" xfId="0" applyAlignment="1" applyBorder="1" applyFont="1" applyNumberFormat="1">
      <alignment horizontal="center" vertical="center"/>
    </xf>
    <xf borderId="7" fillId="5" fontId="14" numFmtId="2" xfId="0" applyBorder="1" applyFont="1" applyNumberFormat="1"/>
    <xf borderId="7" fillId="5" fontId="14" numFmtId="0" xfId="0" applyBorder="1" applyFont="1"/>
    <xf borderId="6" fillId="7" fontId="11" numFmtId="0" xfId="0" applyAlignment="1" applyBorder="1" applyFill="1" applyFont="1">
      <alignment horizontal="center" shrinkToFit="0" vertical="center" wrapText="1"/>
    </xf>
    <xf borderId="6" fillId="7" fontId="12" numFmtId="164" xfId="0" applyAlignment="1" applyBorder="1" applyFont="1" applyNumberFormat="1">
      <alignment horizontal="center" vertical="center"/>
    </xf>
    <xf borderId="6" fillId="7" fontId="14" numFmtId="165" xfId="0" applyAlignment="1" applyBorder="1" applyFont="1" applyNumberFormat="1">
      <alignment horizontal="center" vertical="center"/>
    </xf>
    <xf borderId="5" fillId="7" fontId="14" numFmtId="165" xfId="0" applyAlignment="1" applyBorder="1" applyFont="1" applyNumberFormat="1">
      <alignment horizontal="center" vertical="center"/>
    </xf>
    <xf borderId="5" fillId="7" fontId="14" numFmtId="20" xfId="0" applyAlignment="1" applyBorder="1" applyFont="1" applyNumberFormat="1">
      <alignment horizontal="center" vertical="center"/>
    </xf>
    <xf borderId="5" fillId="7" fontId="14" numFmtId="2" xfId="0" applyAlignment="1" applyBorder="1" applyFont="1" applyNumberFormat="1">
      <alignment horizontal="center" vertical="center"/>
    </xf>
    <xf borderId="7" fillId="7" fontId="14" numFmtId="0" xfId="0" applyBorder="1" applyFont="1"/>
    <xf borderId="1" fillId="5" fontId="14" numFmtId="0" xfId="0" applyAlignment="1" applyBorder="1" applyFont="1">
      <alignment vertical="bottom"/>
    </xf>
    <xf borderId="7" fillId="7" fontId="14" numFmtId="2" xfId="0" applyBorder="1" applyFont="1" applyNumberFormat="1"/>
    <xf quotePrefix="1" borderId="6" fillId="5" fontId="11" numFmtId="0" xfId="0" applyAlignment="1" applyBorder="1" applyFont="1">
      <alignment horizontal="center" shrinkToFit="0" vertical="center" wrapText="1"/>
    </xf>
    <xf borderId="5" fillId="7" fontId="1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7" fillId="4" fontId="13" numFmtId="2" xfId="0" applyAlignment="1" applyBorder="1" applyFont="1" applyNumberFormat="1">
      <alignment horizontal="left" shrinkToFit="0" vertical="center" wrapText="1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46357.0</v>
      </c>
      <c r="D7" s="18">
        <v>0.375</v>
      </c>
      <c r="E7" s="19">
        <v>0.75</v>
      </c>
      <c r="F7" s="20" t="s">
        <v>17</v>
      </c>
      <c r="G7" s="21">
        <f t="shared" ref="G7:G10" si="1">MIN(MAX(IF(F7="YES", ((E7-D7) * 24) - 1, (E7-D7) * 24), 0), 8)</f>
        <v>8</v>
      </c>
      <c r="H7" s="22" t="s">
        <v>18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46358.0</v>
      </c>
      <c r="D8" s="24"/>
      <c r="E8" s="25"/>
      <c r="F8" s="20" t="s">
        <v>17</v>
      </c>
      <c r="G8" s="21">
        <f t="shared" si="1"/>
        <v>0</v>
      </c>
      <c r="H8" s="26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46359.0</v>
      </c>
      <c r="D9" s="24"/>
      <c r="E9" s="25"/>
      <c r="F9" s="20" t="s">
        <v>17</v>
      </c>
      <c r="G9" s="21">
        <f t="shared" si="1"/>
        <v>0</v>
      </c>
      <c r="H9" s="26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5" t="s">
        <v>15</v>
      </c>
      <c r="B10" s="16" t="s">
        <v>16</v>
      </c>
      <c r="C10" s="17">
        <v>46360.0</v>
      </c>
      <c r="D10" s="24"/>
      <c r="E10" s="25"/>
      <c r="F10" s="20" t="s">
        <v>17</v>
      </c>
      <c r="G10" s="21">
        <f t="shared" si="1"/>
        <v>0</v>
      </c>
      <c r="H10" s="2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8" t="s">
        <v>19</v>
      </c>
      <c r="B11" s="16" t="s">
        <v>16</v>
      </c>
      <c r="C11" s="29">
        <v>46361.0</v>
      </c>
      <c r="D11" s="30"/>
      <c r="E11" s="31"/>
      <c r="F11" s="32"/>
      <c r="G11" s="3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8" t="s">
        <v>19</v>
      </c>
      <c r="B12" s="16" t="s">
        <v>16</v>
      </c>
      <c r="C12" s="29">
        <v>46362.0</v>
      </c>
      <c r="D12" s="30"/>
      <c r="E12" s="31"/>
      <c r="F12" s="32"/>
      <c r="G12" s="33"/>
      <c r="H12" s="34"/>
      <c r="I12" s="3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8" t="s">
        <v>19</v>
      </c>
      <c r="B13" s="16" t="s">
        <v>16</v>
      </c>
      <c r="C13" s="29">
        <v>46363.0</v>
      </c>
      <c r="D13" s="30"/>
      <c r="E13" s="31"/>
      <c r="F13" s="32"/>
      <c r="G13" s="33"/>
      <c r="H13" s="34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5" t="s">
        <v>15</v>
      </c>
      <c r="B14" s="16" t="s">
        <v>16</v>
      </c>
      <c r="C14" s="17">
        <v>46364.0</v>
      </c>
      <c r="D14" s="24"/>
      <c r="E14" s="25"/>
      <c r="F14" s="20" t="s">
        <v>17</v>
      </c>
      <c r="G14" s="21">
        <f t="shared" ref="G14:G15" si="2">MIN(MAX(IF(F14="YES", ((E14-D14) * 24) - 1, (E14-D14) * 24), 0), 8)</f>
        <v>0</v>
      </c>
      <c r="H14" s="26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5" t="s">
        <v>15</v>
      </c>
      <c r="B15" s="16" t="s">
        <v>16</v>
      </c>
      <c r="C15" s="17">
        <v>46365.0</v>
      </c>
      <c r="D15" s="24"/>
      <c r="E15" s="25"/>
      <c r="F15" s="20" t="s">
        <v>17</v>
      </c>
      <c r="G15" s="21">
        <f t="shared" si="2"/>
        <v>0</v>
      </c>
      <c r="H15" s="26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8" t="s">
        <v>19</v>
      </c>
      <c r="B16" s="16" t="s">
        <v>16</v>
      </c>
      <c r="C16" s="29">
        <v>46366.0</v>
      </c>
      <c r="D16" s="30"/>
      <c r="E16" s="31"/>
      <c r="F16" s="32"/>
      <c r="G16" s="33"/>
      <c r="H16" s="36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5" t="s">
        <v>15</v>
      </c>
      <c r="B17" s="16" t="s">
        <v>16</v>
      </c>
      <c r="C17" s="17">
        <v>46367.0</v>
      </c>
      <c r="D17" s="24"/>
      <c r="E17" s="25"/>
      <c r="F17" s="20" t="s">
        <v>17</v>
      </c>
      <c r="G17" s="21">
        <f>MIN(MAX(IF(F17="YES", ((E17-D17) * 24) - 1, (E17-D17) * 24), 0), 8)</f>
        <v>0</v>
      </c>
      <c r="H17" s="26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8" t="s">
        <v>19</v>
      </c>
      <c r="B18" s="16" t="s">
        <v>16</v>
      </c>
      <c r="C18" s="29">
        <v>46368.0</v>
      </c>
      <c r="D18" s="30"/>
      <c r="E18" s="31"/>
      <c r="F18" s="32"/>
      <c r="G18" s="33"/>
      <c r="H18" s="36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8" t="s">
        <v>19</v>
      </c>
      <c r="B19" s="16" t="s">
        <v>16</v>
      </c>
      <c r="C19" s="29">
        <v>46369.0</v>
      </c>
      <c r="D19" s="30"/>
      <c r="E19" s="31"/>
      <c r="F19" s="32"/>
      <c r="G19" s="33"/>
      <c r="H19" s="34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15" t="s">
        <v>15</v>
      </c>
      <c r="B20" s="16" t="s">
        <v>16</v>
      </c>
      <c r="C20" s="17">
        <v>46370.0</v>
      </c>
      <c r="D20" s="24"/>
      <c r="E20" s="25"/>
      <c r="F20" s="20" t="s">
        <v>17</v>
      </c>
      <c r="G20" s="21">
        <f t="shared" ref="G20:G24" si="3">MIN(MAX(IF(F20="YES", ((E20-D20) * 24) - 1, (E20-D20) * 24), 0), 8)</f>
        <v>0</v>
      </c>
      <c r="H20" s="2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5" t="s">
        <v>15</v>
      </c>
      <c r="B21" s="16" t="s">
        <v>16</v>
      </c>
      <c r="C21" s="17">
        <v>46371.0</v>
      </c>
      <c r="D21" s="24"/>
      <c r="E21" s="25"/>
      <c r="F21" s="20" t="s">
        <v>17</v>
      </c>
      <c r="G21" s="21">
        <f t="shared" si="3"/>
        <v>0</v>
      </c>
      <c r="H21" s="2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5" t="s">
        <v>15</v>
      </c>
      <c r="B22" s="16" t="s">
        <v>16</v>
      </c>
      <c r="C22" s="17">
        <v>46372.0</v>
      </c>
      <c r="D22" s="24"/>
      <c r="E22" s="25"/>
      <c r="F22" s="20" t="s">
        <v>17</v>
      </c>
      <c r="G22" s="21">
        <f t="shared" si="3"/>
        <v>0</v>
      </c>
      <c r="H22" s="26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46373.0</v>
      </c>
      <c r="D23" s="24"/>
      <c r="E23" s="25"/>
      <c r="F23" s="20" t="s">
        <v>17</v>
      </c>
      <c r="G23" s="21">
        <f t="shared" si="3"/>
        <v>0</v>
      </c>
      <c r="H23" s="26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15" t="s">
        <v>15</v>
      </c>
      <c r="B24" s="16" t="s">
        <v>16</v>
      </c>
      <c r="C24" s="17">
        <v>46374.0</v>
      </c>
      <c r="D24" s="24"/>
      <c r="E24" s="25"/>
      <c r="F24" s="20" t="s">
        <v>17</v>
      </c>
      <c r="G24" s="21">
        <f t="shared" si="3"/>
        <v>0</v>
      </c>
      <c r="H24" s="26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8" t="s">
        <v>19</v>
      </c>
      <c r="B25" s="16" t="s">
        <v>16</v>
      </c>
      <c r="C25" s="29">
        <v>46375.0</v>
      </c>
      <c r="D25" s="30"/>
      <c r="E25" s="31"/>
      <c r="F25" s="32"/>
      <c r="G25" s="33"/>
      <c r="H25" s="3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8" t="s">
        <v>19</v>
      </c>
      <c r="B26" s="16" t="s">
        <v>16</v>
      </c>
      <c r="C26" s="29">
        <v>46376.0</v>
      </c>
      <c r="D26" s="30"/>
      <c r="E26" s="31"/>
      <c r="F26" s="32"/>
      <c r="G26" s="33"/>
      <c r="H26" s="36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15" t="s">
        <v>15</v>
      </c>
      <c r="B27" s="16" t="s">
        <v>16</v>
      </c>
      <c r="C27" s="17">
        <v>46377.0</v>
      </c>
      <c r="D27" s="24"/>
      <c r="E27" s="25"/>
      <c r="F27" s="20" t="s">
        <v>17</v>
      </c>
      <c r="G27" s="21">
        <f t="shared" ref="G27:G31" si="4">MIN(MAX(IF(F27="YES", ((E27-D27) * 24) - 1, (E27-D27) * 24), 0), 8)</f>
        <v>0</v>
      </c>
      <c r="H27" s="26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7" t="s">
        <v>15</v>
      </c>
      <c r="B28" s="16" t="s">
        <v>16</v>
      </c>
      <c r="C28" s="17">
        <v>46378.0</v>
      </c>
      <c r="D28" s="24"/>
      <c r="E28" s="25"/>
      <c r="F28" s="20" t="s">
        <v>17</v>
      </c>
      <c r="G28" s="21">
        <f t="shared" si="4"/>
        <v>0</v>
      </c>
      <c r="H28" s="26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5" t="s">
        <v>15</v>
      </c>
      <c r="B29" s="16" t="s">
        <v>16</v>
      </c>
      <c r="C29" s="17">
        <v>46379.0</v>
      </c>
      <c r="D29" s="24"/>
      <c r="E29" s="25"/>
      <c r="F29" s="20" t="s">
        <v>17</v>
      </c>
      <c r="G29" s="21">
        <f t="shared" si="4"/>
        <v>0</v>
      </c>
      <c r="H29" s="2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46380.0</v>
      </c>
      <c r="D30" s="24"/>
      <c r="E30" s="25"/>
      <c r="F30" s="20" t="s">
        <v>17</v>
      </c>
      <c r="G30" s="21">
        <f t="shared" si="4"/>
        <v>0</v>
      </c>
      <c r="H30" s="26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5" t="s">
        <v>15</v>
      </c>
      <c r="B31" s="16" t="s">
        <v>16</v>
      </c>
      <c r="C31" s="17">
        <v>46381.0</v>
      </c>
      <c r="D31" s="24"/>
      <c r="E31" s="25"/>
      <c r="F31" s="20" t="s">
        <v>17</v>
      </c>
      <c r="G31" s="21">
        <f t="shared" si="4"/>
        <v>0</v>
      </c>
      <c r="H31" s="26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8" t="s">
        <v>19</v>
      </c>
      <c r="B32" s="16" t="s">
        <v>16</v>
      </c>
      <c r="C32" s="29">
        <v>46382.0</v>
      </c>
      <c r="D32" s="30"/>
      <c r="E32" s="31"/>
      <c r="F32" s="32"/>
      <c r="G32" s="33"/>
      <c r="H32" s="36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8" t="s">
        <v>19</v>
      </c>
      <c r="B33" s="16" t="s">
        <v>16</v>
      </c>
      <c r="C33" s="29">
        <v>46383.0</v>
      </c>
      <c r="D33" s="30"/>
      <c r="E33" s="31"/>
      <c r="F33" s="32"/>
      <c r="G33" s="33"/>
      <c r="H33" s="3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15" t="s">
        <v>15</v>
      </c>
      <c r="B34" s="16" t="s">
        <v>16</v>
      </c>
      <c r="C34" s="17">
        <v>46384.0</v>
      </c>
      <c r="D34" s="24"/>
      <c r="E34" s="25"/>
      <c r="F34" s="20" t="s">
        <v>17</v>
      </c>
      <c r="G34" s="21">
        <f t="shared" ref="G34:G36" si="5">MIN(MAX(IF(F34="YES", ((E34-D34) * 24) - 1, (E34-D34) * 24), 0), 8)</f>
        <v>0</v>
      </c>
      <c r="H34" s="27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7" t="s">
        <v>15</v>
      </c>
      <c r="B35" s="16" t="s">
        <v>16</v>
      </c>
      <c r="C35" s="17">
        <v>46385.0</v>
      </c>
      <c r="D35" s="24"/>
      <c r="E35" s="25"/>
      <c r="F35" s="20" t="s">
        <v>17</v>
      </c>
      <c r="G35" s="21">
        <f t="shared" si="5"/>
        <v>0</v>
      </c>
      <c r="H35" s="26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5" t="s">
        <v>15</v>
      </c>
      <c r="B36" s="16" t="s">
        <v>16</v>
      </c>
      <c r="C36" s="17">
        <v>46386.0</v>
      </c>
      <c r="D36" s="24"/>
      <c r="E36" s="25"/>
      <c r="F36" s="20" t="s">
        <v>17</v>
      </c>
      <c r="G36" s="21">
        <f t="shared" si="5"/>
        <v>0</v>
      </c>
      <c r="H36" s="2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8" t="s">
        <v>19</v>
      </c>
      <c r="B37" s="16" t="s">
        <v>16</v>
      </c>
      <c r="C37" s="29">
        <v>46387.0</v>
      </c>
      <c r="D37" s="30"/>
      <c r="E37" s="31"/>
      <c r="F37" s="38"/>
      <c r="G37" s="33"/>
      <c r="H37" s="36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9"/>
      <c r="B38" s="39"/>
      <c r="C38" s="39"/>
      <c r="D38" s="11"/>
      <c r="E38" s="11"/>
      <c r="F38" s="11"/>
      <c r="G38" s="11"/>
      <c r="H38" s="11"/>
    </row>
    <row r="39" ht="14.25" customHeight="1">
      <c r="A39" s="40" t="s">
        <v>20</v>
      </c>
      <c r="B39" s="41" t="s">
        <v>21</v>
      </c>
      <c r="C39" s="42" t="s">
        <v>22</v>
      </c>
      <c r="D39" s="11"/>
      <c r="E39" s="11"/>
      <c r="F39" s="11"/>
      <c r="G39" s="11"/>
      <c r="H39" s="11"/>
    </row>
    <row r="40" ht="14.25" customHeight="1">
      <c r="A40" s="43" t="s">
        <v>23</v>
      </c>
      <c r="B40" s="44">
        <f>SUMIF($A$7:$A$37,"W*",$G$7:$G$37)</f>
        <v>8</v>
      </c>
      <c r="C40" s="45">
        <f>B40/8</f>
        <v>1</v>
      </c>
      <c r="D40" s="11"/>
      <c r="E40" s="11"/>
      <c r="F40" s="11"/>
      <c r="G40" s="11"/>
      <c r="H40" s="11"/>
    </row>
    <row r="41" ht="14.25" customHeight="1">
      <c r="A41" s="46" t="s">
        <v>24</v>
      </c>
      <c r="B41" s="47">
        <f t="shared" ref="B41:C41" si="6">SUM(B40)</f>
        <v>8</v>
      </c>
      <c r="C41" s="48">
        <f t="shared" si="6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9"/>
      <c r="D44" s="11"/>
      <c r="E44" s="11"/>
      <c r="F44" s="11"/>
      <c r="G44" s="11"/>
      <c r="H44" s="11"/>
    </row>
    <row r="45" ht="14.25" customHeight="1">
      <c r="A45" s="1"/>
      <c r="B45" s="50"/>
      <c r="C45" s="50"/>
      <c r="D45" s="51"/>
      <c r="E45" s="11"/>
      <c r="F45" s="11"/>
      <c r="G45" s="11"/>
      <c r="H45" s="11"/>
    </row>
    <row r="46" ht="14.25" customHeight="1">
      <c r="A46" s="1"/>
      <c r="B46" s="52"/>
      <c r="C46" s="53"/>
      <c r="D46" s="11"/>
      <c r="E46" s="11"/>
      <c r="F46" s="11"/>
      <c r="G46" s="11"/>
      <c r="H46" s="11"/>
    </row>
    <row r="47" ht="14.25" customHeight="1">
      <c r="A47" s="1"/>
      <c r="B47" s="54"/>
      <c r="D47" s="1"/>
      <c r="E47" s="11"/>
      <c r="F47" s="11"/>
      <c r="G47" s="11"/>
      <c r="H47" s="11"/>
    </row>
    <row r="48" ht="14.25" customHeight="1">
      <c r="A48" s="1"/>
      <c r="B48" s="55"/>
      <c r="C48" s="50"/>
      <c r="D48" s="51"/>
      <c r="E48" s="11"/>
      <c r="F48" s="11"/>
      <c r="G48" s="11"/>
      <c r="H48" s="11"/>
    </row>
    <row r="49" ht="14.25" customHeight="1">
      <c r="A49" s="1"/>
      <c r="B49" s="52" t="s">
        <v>9</v>
      </c>
      <c r="C49" s="53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38"/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6" t="s">
        <v>15</v>
      </c>
      <c r="B7" s="16" t="s">
        <v>16</v>
      </c>
      <c r="C7" s="57">
        <v>46357.0</v>
      </c>
      <c r="D7" s="58">
        <v>0.7708333333333334</v>
      </c>
      <c r="E7" s="59">
        <v>0.8333333333333334</v>
      </c>
      <c r="F7" s="60" t="s">
        <v>26</v>
      </c>
      <c r="G7" s="21">
        <f t="shared" ref="G7:G20" si="1">MAX(IF(F7="YES", ((E7-D7) * 24) - 1, (E7-D7) * 24), 0)</f>
        <v>1.5</v>
      </c>
      <c r="H7" s="61" t="s">
        <v>18</v>
      </c>
    </row>
    <row r="8">
      <c r="A8" s="56" t="s">
        <v>15</v>
      </c>
      <c r="B8" s="16" t="s">
        <v>16</v>
      </c>
      <c r="C8" s="62"/>
      <c r="D8" s="63"/>
      <c r="E8" s="64"/>
      <c r="F8" s="60" t="s">
        <v>26</v>
      </c>
      <c r="G8" s="21">
        <f t="shared" si="1"/>
        <v>0</v>
      </c>
      <c r="H8" s="61"/>
    </row>
    <row r="9" ht="15.75" customHeight="1">
      <c r="A9" s="56" t="s">
        <v>15</v>
      </c>
      <c r="B9" s="16" t="s">
        <v>16</v>
      </c>
      <c r="C9" s="62"/>
      <c r="D9" s="63"/>
      <c r="E9" s="64"/>
      <c r="F9" s="60" t="s">
        <v>26</v>
      </c>
      <c r="G9" s="21">
        <f t="shared" si="1"/>
        <v>0</v>
      </c>
      <c r="H9" s="65"/>
    </row>
    <row r="10" ht="14.25" customHeight="1">
      <c r="A10" s="56" t="s">
        <v>15</v>
      </c>
      <c r="B10" s="16" t="s">
        <v>16</v>
      </c>
      <c r="C10" s="62"/>
      <c r="D10" s="63"/>
      <c r="E10" s="64"/>
      <c r="F10" s="60" t="s">
        <v>26</v>
      </c>
      <c r="G10" s="21">
        <f t="shared" si="1"/>
        <v>0</v>
      </c>
      <c r="H10" s="65"/>
    </row>
    <row r="11">
      <c r="A11" s="56" t="s">
        <v>15</v>
      </c>
      <c r="B11" s="16" t="s">
        <v>16</v>
      </c>
      <c r="C11" s="62"/>
      <c r="D11" s="63"/>
      <c r="E11" s="64"/>
      <c r="F11" s="60" t="s">
        <v>26</v>
      </c>
      <c r="G11" s="21">
        <f t="shared" si="1"/>
        <v>0</v>
      </c>
      <c r="H11" s="61"/>
    </row>
    <row r="12">
      <c r="A12" s="56" t="s">
        <v>15</v>
      </c>
      <c r="B12" s="16" t="s">
        <v>16</v>
      </c>
      <c r="C12" s="62"/>
      <c r="D12" s="63"/>
      <c r="E12" s="64"/>
      <c r="F12" s="60" t="s">
        <v>26</v>
      </c>
      <c r="G12" s="21">
        <f t="shared" si="1"/>
        <v>0</v>
      </c>
      <c r="H12" s="61"/>
    </row>
    <row r="13">
      <c r="A13" s="56" t="s">
        <v>15</v>
      </c>
      <c r="B13" s="16" t="s">
        <v>16</v>
      </c>
      <c r="C13" s="62"/>
      <c r="D13" s="63"/>
      <c r="E13" s="64"/>
      <c r="F13" s="60" t="s">
        <v>26</v>
      </c>
      <c r="G13" s="21">
        <f t="shared" si="1"/>
        <v>0</v>
      </c>
      <c r="H13" s="61"/>
    </row>
    <row r="14">
      <c r="A14" s="56" t="s">
        <v>15</v>
      </c>
      <c r="B14" s="16" t="s">
        <v>16</v>
      </c>
      <c r="C14" s="62"/>
      <c r="D14" s="63"/>
      <c r="E14" s="64"/>
      <c r="F14" s="60" t="s">
        <v>26</v>
      </c>
      <c r="G14" s="21">
        <f t="shared" si="1"/>
        <v>0</v>
      </c>
      <c r="H14" s="61"/>
    </row>
    <row r="15">
      <c r="A15" s="56" t="s">
        <v>15</v>
      </c>
      <c r="B15" s="16" t="s">
        <v>16</v>
      </c>
      <c r="C15" s="62"/>
      <c r="D15" s="63"/>
      <c r="E15" s="64"/>
      <c r="F15" s="60" t="s">
        <v>26</v>
      </c>
      <c r="G15" s="21">
        <f t="shared" si="1"/>
        <v>0</v>
      </c>
      <c r="H15" s="61"/>
    </row>
    <row r="16">
      <c r="A16" s="56" t="s">
        <v>15</v>
      </c>
      <c r="B16" s="16" t="s">
        <v>16</v>
      </c>
      <c r="C16" s="62"/>
      <c r="D16" s="63"/>
      <c r="E16" s="64"/>
      <c r="F16" s="60" t="s">
        <v>26</v>
      </c>
      <c r="G16" s="21">
        <f t="shared" si="1"/>
        <v>0</v>
      </c>
      <c r="H16" s="61"/>
    </row>
    <row r="17">
      <c r="A17" s="56" t="s">
        <v>15</v>
      </c>
      <c r="B17" s="16" t="s">
        <v>16</v>
      </c>
      <c r="C17" s="62"/>
      <c r="D17" s="63"/>
      <c r="E17" s="64"/>
      <c r="F17" s="60" t="s">
        <v>26</v>
      </c>
      <c r="G17" s="21">
        <f t="shared" si="1"/>
        <v>0</v>
      </c>
      <c r="H17" s="61"/>
    </row>
    <row r="18">
      <c r="A18" s="56" t="s">
        <v>15</v>
      </c>
      <c r="B18" s="16" t="s">
        <v>16</v>
      </c>
      <c r="C18" s="62"/>
      <c r="D18" s="63"/>
      <c r="E18" s="64"/>
      <c r="F18" s="60" t="s">
        <v>26</v>
      </c>
      <c r="G18" s="21">
        <f t="shared" si="1"/>
        <v>0</v>
      </c>
      <c r="H18" s="61"/>
    </row>
    <row r="19">
      <c r="A19" s="56" t="s">
        <v>15</v>
      </c>
      <c r="B19" s="16" t="s">
        <v>16</v>
      </c>
      <c r="C19" s="62"/>
      <c r="D19" s="63"/>
      <c r="E19" s="64"/>
      <c r="F19" s="60" t="s">
        <v>26</v>
      </c>
      <c r="G19" s="21">
        <f t="shared" si="1"/>
        <v>0</v>
      </c>
      <c r="H19" s="61"/>
    </row>
    <row r="20">
      <c r="A20" s="56" t="s">
        <v>15</v>
      </c>
      <c r="B20" s="16" t="s">
        <v>16</v>
      </c>
      <c r="C20" s="62"/>
      <c r="D20" s="63"/>
      <c r="E20" s="64"/>
      <c r="F20" s="60" t="s">
        <v>26</v>
      </c>
      <c r="G20" s="21">
        <f t="shared" si="1"/>
        <v>0</v>
      </c>
      <c r="H20" s="61"/>
    </row>
    <row r="21" ht="14.25" customHeight="1">
      <c r="A21" s="39"/>
      <c r="B21" s="39"/>
      <c r="C21" s="39"/>
      <c r="D21" s="11"/>
      <c r="E21" s="11"/>
      <c r="F21" s="11"/>
      <c r="G21" s="11"/>
      <c r="H21" s="11"/>
    </row>
    <row r="22" ht="14.25" customHeight="1">
      <c r="A22" s="40" t="s">
        <v>20</v>
      </c>
      <c r="B22" s="41" t="s">
        <v>21</v>
      </c>
      <c r="C22" s="42" t="s">
        <v>22</v>
      </c>
      <c r="D22" s="11"/>
      <c r="E22" s="11"/>
      <c r="F22" s="11"/>
      <c r="G22" s="11"/>
      <c r="H22" s="11"/>
    </row>
    <row r="23" ht="14.25" customHeight="1">
      <c r="A23" s="43" t="s">
        <v>23</v>
      </c>
      <c r="B23" s="44">
        <f>SUMIF($A$7:$A$20,"W*",$G$7:$G$20)</f>
        <v>1.5</v>
      </c>
      <c r="C23" s="45">
        <f>B23/8</f>
        <v>0.1875</v>
      </c>
      <c r="D23" s="11"/>
      <c r="E23" s="11"/>
      <c r="F23" s="11"/>
      <c r="G23" s="11"/>
      <c r="H23" s="11"/>
    </row>
    <row r="24" ht="14.25" customHeight="1">
      <c r="A24" s="46" t="s">
        <v>24</v>
      </c>
      <c r="B24" s="47">
        <f t="shared" ref="B24:C24" si="2">SUM(B23)</f>
        <v>1.5</v>
      </c>
      <c r="C24" s="48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9"/>
      <c r="D27" s="11"/>
      <c r="E27" s="11"/>
      <c r="F27" s="11"/>
      <c r="G27" s="11"/>
      <c r="H27" s="11"/>
    </row>
    <row r="28" ht="14.25" customHeight="1">
      <c r="A28" s="1"/>
      <c r="B28" s="50"/>
      <c r="C28" s="50"/>
      <c r="D28" s="51"/>
      <c r="E28" s="11"/>
      <c r="F28" s="11"/>
      <c r="G28" s="11"/>
      <c r="H28" s="11"/>
    </row>
    <row r="29" ht="14.25" customHeight="1">
      <c r="A29" s="1"/>
      <c r="B29" s="52"/>
      <c r="C29" s="53"/>
      <c r="D29" s="11"/>
      <c r="E29" s="11"/>
      <c r="F29" s="11"/>
      <c r="G29" s="11"/>
      <c r="H29" s="11"/>
    </row>
    <row r="30" ht="14.25" customHeight="1">
      <c r="A30" s="1"/>
      <c r="B30" s="54"/>
      <c r="D30" s="1"/>
      <c r="E30" s="11"/>
      <c r="F30" s="11"/>
      <c r="G30" s="11"/>
      <c r="H30" s="11"/>
    </row>
    <row r="31" ht="14.25" customHeight="1">
      <c r="A31" s="1"/>
      <c r="B31" s="55"/>
      <c r="C31" s="50"/>
      <c r="D31" s="51"/>
      <c r="E31" s="11"/>
      <c r="F31" s="11"/>
      <c r="G31" s="11"/>
      <c r="H31" s="11"/>
    </row>
    <row r="32" ht="14.25" customHeight="1">
      <c r="A32" s="1"/>
      <c r="B32" s="52" t="s">
        <v>9</v>
      </c>
      <c r="C32" s="53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