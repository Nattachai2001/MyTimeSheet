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Hours'!$A$6:$H$37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<sst xmlns="http://schemas.openxmlformats.org/spreadsheetml/2006/main" count="168" uniqueCount="27">
  <si>
    <t> Timesheet - Standard Hours</t>
  </si>
  <si>
    <t xml:space="preserve">Period : </t>
  </si>
  <si>
    <t>2026 Jun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</si>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</sst>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1" numFmtId="0" xfId="0" applyAlignment="1" applyBorder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7" fillId="6" fontId="13" numFmtId="2" xfId="0" applyAlignment="1" applyBorder="1" applyFont="1" applyNumberFormat="1">
      <alignment vertical="center"/>
    </xf>
    <xf borderId="7" fillId="6" fontId="13" numFmtId="0" xfId="0" applyAlignment="1" applyBorder="1" applyFont="1">
      <alignment vertical="center"/>
    </xf>
    <xf borderId="7" fillId="5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4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46174.0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17</v>
      </c>
      <c r="B8" s="25" t="s">
        <v>16</v>
      </c>
      <c r="C8" s="26">
        <v>46175.0</v>
      </c>
      <c r="D8" s="27">
        <v>0.375</v>
      </c>
      <c r="E8" s="28">
        <v>0.75</v>
      </c>
      <c r="F8" s="29" t="s">
        <v>18</v>
      </c>
      <c r="G8" s="30">
        <f>MIN(MAX(IF(F8="YES", ((E8-D8) * 24) - 1, (E8-D8) * 24), 0), 8)</f>
        <v>8</v>
      </c>
      <c r="H8" s="31" t="s">
        <v>19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46176.0</v>
      </c>
      <c r="D9" s="18"/>
      <c r="E9" s="19"/>
      <c r="F9" s="20"/>
      <c r="G9" s="21"/>
      <c r="H9" s="2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4" t="s">
        <v>17</v>
      </c>
      <c r="B10" s="25" t="s">
        <v>16</v>
      </c>
      <c r="C10" s="26">
        <v>46177.0</v>
      </c>
      <c r="D10" s="32"/>
      <c r="E10" s="33"/>
      <c r="F10" s="29" t="s">
        <v>18</v>
      </c>
      <c r="G10" s="30">
        <f t="shared" ref="G10:G11" si="1">MIN(MAX(IF(F10="YES", ((E10-D10) * 24) - 1, (E10-D10) * 24), 0), 8)</f>
        <v>0</v>
      </c>
      <c r="H10" s="3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17</v>
      </c>
      <c r="B11" s="25" t="s">
        <v>16</v>
      </c>
      <c r="C11" s="26">
        <v>46178.0</v>
      </c>
      <c r="D11" s="32"/>
      <c r="E11" s="33"/>
      <c r="F11" s="29" t="s">
        <v>18</v>
      </c>
      <c r="G11" s="30">
        <f t="shared" si="1"/>
        <v>0</v>
      </c>
      <c r="H11" s="35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5" t="s">
        <v>15</v>
      </c>
      <c r="B12" s="16" t="s">
        <v>16</v>
      </c>
      <c r="C12" s="17">
        <v>46179.0</v>
      </c>
      <c r="D12" s="18"/>
      <c r="E12" s="19"/>
      <c r="F12" s="20"/>
      <c r="G12" s="21"/>
      <c r="H12" s="36"/>
      <c r="I12" s="37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46180.0</v>
      </c>
      <c r="D13" s="18"/>
      <c r="E13" s="19"/>
      <c r="F13" s="20"/>
      <c r="G13" s="21"/>
      <c r="H13" s="36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 t="s">
        <v>17</v>
      </c>
      <c r="B14" s="25" t="s">
        <v>16</v>
      </c>
      <c r="C14" s="26">
        <v>46181.0</v>
      </c>
      <c r="D14" s="32"/>
      <c r="E14" s="33"/>
      <c r="F14" s="29" t="s">
        <v>18</v>
      </c>
      <c r="G14" s="30">
        <f t="shared" ref="G14:G18" si="2">MIN(MAX(IF(F14="YES", ((E14-D14) * 24) - 1, (E14-D14) * 24), 0), 8)</f>
        <v>0</v>
      </c>
      <c r="H14" s="34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17</v>
      </c>
      <c r="B15" s="25" t="s">
        <v>16</v>
      </c>
      <c r="C15" s="26">
        <v>46182.0</v>
      </c>
      <c r="D15" s="32"/>
      <c r="E15" s="33"/>
      <c r="F15" s="29" t="s">
        <v>18</v>
      </c>
      <c r="G15" s="30">
        <f t="shared" si="2"/>
        <v>0</v>
      </c>
      <c r="H15" s="3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17</v>
      </c>
      <c r="B16" s="25" t="s">
        <v>16</v>
      </c>
      <c r="C16" s="26">
        <v>46183.0</v>
      </c>
      <c r="D16" s="32"/>
      <c r="E16" s="33"/>
      <c r="F16" s="29" t="s">
        <v>18</v>
      </c>
      <c r="G16" s="30">
        <f t="shared" si="2"/>
        <v>0</v>
      </c>
      <c r="H16" s="34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17</v>
      </c>
      <c r="B17" s="25" t="s">
        <v>16</v>
      </c>
      <c r="C17" s="26">
        <v>46184.0</v>
      </c>
      <c r="D17" s="32"/>
      <c r="E17" s="33"/>
      <c r="F17" s="29" t="s">
        <v>18</v>
      </c>
      <c r="G17" s="30">
        <f t="shared" si="2"/>
        <v>0</v>
      </c>
      <c r="H17" s="3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17</v>
      </c>
      <c r="B18" s="25" t="s">
        <v>16</v>
      </c>
      <c r="C18" s="26">
        <v>46185.0</v>
      </c>
      <c r="D18" s="32"/>
      <c r="E18" s="33"/>
      <c r="F18" s="29" t="s">
        <v>18</v>
      </c>
      <c r="G18" s="30">
        <f t="shared" si="2"/>
        <v>0</v>
      </c>
      <c r="H18" s="34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15" t="s">
        <v>15</v>
      </c>
      <c r="B19" s="16" t="s">
        <v>16</v>
      </c>
      <c r="C19" s="17">
        <v>46186.0</v>
      </c>
      <c r="D19" s="18"/>
      <c r="E19" s="19"/>
      <c r="F19" s="20"/>
      <c r="G19" s="21"/>
      <c r="H19" s="36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46187.0</v>
      </c>
      <c r="D20" s="18"/>
      <c r="E20" s="19"/>
      <c r="F20" s="20"/>
      <c r="G20" s="21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4" t="s">
        <v>17</v>
      </c>
      <c r="B21" s="25" t="s">
        <v>16</v>
      </c>
      <c r="C21" s="26">
        <v>46188.0</v>
      </c>
      <c r="D21" s="32"/>
      <c r="E21" s="33"/>
      <c r="F21" s="29" t="s">
        <v>18</v>
      </c>
      <c r="G21" s="30">
        <f t="shared" ref="G21:G25" si="3">MIN(MAX(IF(F21="YES", ((E21-D21) * 24) - 1, (E21-D21) * 24), 0), 8)</f>
        <v>0</v>
      </c>
      <c r="H21" s="3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 t="s">
        <v>17</v>
      </c>
      <c r="B22" s="25" t="s">
        <v>16</v>
      </c>
      <c r="C22" s="26">
        <v>46189.0</v>
      </c>
      <c r="D22" s="32"/>
      <c r="E22" s="33"/>
      <c r="F22" s="29" t="s">
        <v>18</v>
      </c>
      <c r="G22" s="30">
        <f t="shared" si="3"/>
        <v>0</v>
      </c>
      <c r="H22" s="3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 t="s">
        <v>17</v>
      </c>
      <c r="B23" s="25" t="s">
        <v>16</v>
      </c>
      <c r="C23" s="26">
        <v>46190.0</v>
      </c>
      <c r="D23" s="32"/>
      <c r="E23" s="33"/>
      <c r="F23" s="29" t="s">
        <v>18</v>
      </c>
      <c r="G23" s="30">
        <f t="shared" si="3"/>
        <v>0</v>
      </c>
      <c r="H23" s="34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17</v>
      </c>
      <c r="B24" s="25" t="s">
        <v>16</v>
      </c>
      <c r="C24" s="26">
        <v>46191.0</v>
      </c>
      <c r="D24" s="32"/>
      <c r="E24" s="33"/>
      <c r="F24" s="29" t="s">
        <v>18</v>
      </c>
      <c r="G24" s="30">
        <f t="shared" si="3"/>
        <v>0</v>
      </c>
      <c r="H24" s="34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17</v>
      </c>
      <c r="B25" s="25" t="s">
        <v>16</v>
      </c>
      <c r="C25" s="26">
        <v>46192.0</v>
      </c>
      <c r="D25" s="32"/>
      <c r="E25" s="33"/>
      <c r="F25" s="29" t="s">
        <v>18</v>
      </c>
      <c r="G25" s="30">
        <f t="shared" si="3"/>
        <v>0</v>
      </c>
      <c r="H25" s="3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5" t="s">
        <v>15</v>
      </c>
      <c r="B26" s="16" t="s">
        <v>16</v>
      </c>
      <c r="C26" s="17">
        <v>46193.0</v>
      </c>
      <c r="D26" s="18"/>
      <c r="E26" s="19"/>
      <c r="F26" s="20"/>
      <c r="G26" s="21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46194.0</v>
      </c>
      <c r="D27" s="18"/>
      <c r="E27" s="19"/>
      <c r="F27" s="20"/>
      <c r="G27" s="21"/>
      <c r="H27" s="2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4" t="s">
        <v>17</v>
      </c>
      <c r="B28" s="25" t="s">
        <v>16</v>
      </c>
      <c r="C28" s="26">
        <v>46195.0</v>
      </c>
      <c r="D28" s="32"/>
      <c r="E28" s="33"/>
      <c r="F28" s="29" t="s">
        <v>18</v>
      </c>
      <c r="G28" s="30">
        <f t="shared" ref="G28:G32" si="4">MIN(MAX(IF(F28="YES", ((E28-D28) * 24) - 1, (E28-D28) * 24), 0), 8)</f>
        <v>0</v>
      </c>
      <c r="H28" s="3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 t="s">
        <v>17</v>
      </c>
      <c r="B29" s="25" t="s">
        <v>16</v>
      </c>
      <c r="C29" s="26">
        <v>46196.0</v>
      </c>
      <c r="D29" s="32"/>
      <c r="E29" s="33"/>
      <c r="F29" s="29" t="s">
        <v>18</v>
      </c>
      <c r="G29" s="30">
        <f t="shared" si="4"/>
        <v>0</v>
      </c>
      <c r="H29" s="34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 t="s">
        <v>17</v>
      </c>
      <c r="B30" s="25" t="s">
        <v>16</v>
      </c>
      <c r="C30" s="26">
        <v>46197.0</v>
      </c>
      <c r="D30" s="32"/>
      <c r="E30" s="33"/>
      <c r="F30" s="29" t="s">
        <v>18</v>
      </c>
      <c r="G30" s="30">
        <f t="shared" si="4"/>
        <v>0</v>
      </c>
      <c r="H30" s="34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17</v>
      </c>
      <c r="B31" s="25" t="s">
        <v>16</v>
      </c>
      <c r="C31" s="26">
        <v>46198.0</v>
      </c>
      <c r="D31" s="32"/>
      <c r="E31" s="33"/>
      <c r="F31" s="29" t="s">
        <v>18</v>
      </c>
      <c r="G31" s="30">
        <f t="shared" si="4"/>
        <v>0</v>
      </c>
      <c r="H31" s="34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17</v>
      </c>
      <c r="B32" s="25" t="s">
        <v>16</v>
      </c>
      <c r="C32" s="26">
        <v>46199.0</v>
      </c>
      <c r="D32" s="32"/>
      <c r="E32" s="33"/>
      <c r="F32" s="29" t="s">
        <v>18</v>
      </c>
      <c r="G32" s="30">
        <f t="shared" si="4"/>
        <v>0</v>
      </c>
      <c r="H32" s="3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5" t="s">
        <v>15</v>
      </c>
      <c r="B33" s="16" t="s">
        <v>16</v>
      </c>
      <c r="C33" s="17">
        <v>46200.0</v>
      </c>
      <c r="D33" s="18"/>
      <c r="E33" s="19"/>
      <c r="F33" s="20"/>
      <c r="G33" s="21"/>
      <c r="H33" s="36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46201.0</v>
      </c>
      <c r="D34" s="18"/>
      <c r="E34" s="19"/>
      <c r="F34" s="20"/>
      <c r="G34" s="21"/>
      <c r="H34" s="36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4" t="s">
        <v>17</v>
      </c>
      <c r="B35" s="25" t="s">
        <v>16</v>
      </c>
      <c r="C35" s="26">
        <v>46202.0</v>
      </c>
      <c r="D35" s="32"/>
      <c r="E35" s="33"/>
      <c r="F35" s="29" t="s">
        <v>18</v>
      </c>
      <c r="G35" s="30">
        <f t="shared" ref="G35:G36" si="5">MIN(MAX(IF(F35="YES", ((E35-D35) * 24) - 1, (E35-D35) * 24), 0), 8)</f>
        <v>0</v>
      </c>
      <c r="H35" s="34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 t="s">
        <v>17</v>
      </c>
      <c r="B36" s="25" t="s">
        <v>16</v>
      </c>
      <c r="C36" s="26">
        <v>46203.0</v>
      </c>
      <c r="D36" s="32"/>
      <c r="E36" s="33"/>
      <c r="F36" s="29" t="s">
        <v>18</v>
      </c>
      <c r="G36" s="30">
        <f t="shared" si="5"/>
        <v>0</v>
      </c>
      <c r="H36" s="34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8"/>
      <c r="B37" s="38"/>
      <c r="C37" s="38"/>
      <c r="D37" s="11"/>
      <c r="E37" s="11"/>
      <c r="F37" s="11"/>
      <c r="G37" s="11"/>
      <c r="H37" s="11"/>
    </row>
    <row r="38" ht="14.25" customHeight="1">
      <c r="A38" s="39" t="s">
        <v>20</v>
      </c>
      <c r="B38" s="40" t="s">
        <v>21</v>
      </c>
      <c r="C38" s="41" t="s">
        <v>22</v>
      </c>
      <c r="D38" s="11"/>
      <c r="E38" s="11"/>
      <c r="F38" s="11"/>
      <c r="G38" s="11"/>
      <c r="H38" s="11"/>
    </row>
    <row r="39" ht="14.25" customHeight="1">
      <c r="A39" s="42" t="s">
        <v>23</v>
      </c>
      <c r="B39" s="43">
        <f>SUMIF($A$7:$A$36,"W*",$G$7:$G$36)</f>
        <v>8</v>
      </c>
      <c r="C39" s="44">
        <f>B39/8</f>
        <v>1</v>
      </c>
      <c r="D39" s="11"/>
      <c r="E39" s="11"/>
      <c r="F39" s="11"/>
      <c r="G39" s="11"/>
      <c r="H39" s="11"/>
    </row>
    <row r="40" ht="14.25" customHeight="1">
      <c r="A40" s="45" t="s">
        <v>24</v>
      </c>
      <c r="B40" s="46">
        <f t="shared" ref="B40:C40" si="6">SUM(B39)</f>
        <v>8</v>
      </c>
      <c r="C40" s="47">
        <f t="shared" si="6"/>
        <v>1</v>
      </c>
      <c r="D40" s="11"/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48"/>
      <c r="D43" s="11"/>
      <c r="E43" s="11"/>
      <c r="F43" s="11"/>
      <c r="G43" s="11"/>
      <c r="H43" s="11"/>
    </row>
    <row r="44" ht="14.25" customHeight="1">
      <c r="A44" s="1"/>
      <c r="B44" s="49"/>
      <c r="C44" s="49"/>
      <c r="D44" s="50"/>
      <c r="E44" s="11"/>
      <c r="F44" s="11"/>
      <c r="G44" s="11"/>
      <c r="H44" s="11"/>
    </row>
    <row r="45" ht="14.25" customHeight="1">
      <c r="A45" s="1"/>
      <c r="B45" s="51"/>
      <c r="C45" s="52"/>
      <c r="D45" s="11"/>
      <c r="E45" s="11"/>
      <c r="F45" s="11"/>
      <c r="G45" s="11"/>
      <c r="H45" s="11"/>
    </row>
    <row r="46" ht="14.25" customHeight="1">
      <c r="A46" s="1"/>
      <c r="B46" s="53"/>
      <c r="D46" s="1"/>
      <c r="E46" s="11"/>
      <c r="F46" s="11"/>
      <c r="G46" s="11"/>
      <c r="H46" s="11"/>
    </row>
    <row r="47" ht="14.25" customHeight="1">
      <c r="A47" s="1"/>
      <c r="B47" s="54"/>
      <c r="C47" s="49"/>
      <c r="D47" s="50"/>
      <c r="E47" s="11"/>
      <c r="F47" s="11"/>
      <c r="G47" s="11"/>
      <c r="H47" s="11"/>
    </row>
    <row r="48" ht="14.25" customHeight="1">
      <c r="A48" s="1"/>
      <c r="B48" s="51" t="s">
        <v>9</v>
      </c>
      <c r="C48" s="52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H$37"/>
  <mergeCells count="6">
    <mergeCell ref="B2:H2"/>
    <mergeCell ref="B43:C44"/>
    <mergeCell ref="B45:C45"/>
    <mergeCell ref="B46:C46"/>
    <mergeCell ref="B47:C47"/>
    <mergeCell ref="B48:C48"/>
  </mergeCells>
  <conditionalFormatting sqref="A7:H36">
    <cfRule type="expression" dxfId="0" priority="1" stopIfTrue="1">
      <formula>OR(LEFT($A7, 2)="H1", LEFT($A7, 2)="L1", LEFT($A7, 2)="L2")</formula>
    </cfRule>
  </conditionalFormatting>
  <conditionalFormatting sqref="G7:G36">
    <cfRule type="expression" dxfId="1" priority="2" stopIfTrue="1">
      <formula>OR(LEFT($A7, 2)="W1")</formula>
    </cfRule>
  </conditionalFormatting>
  <dataValidations>
    <dataValidation type="list" allowBlank="1" showErrorMessage="1" sqref="F7:F36">
      <formula1>"YES,NO"</formula1>
    </dataValidation>
    <dataValidation type="list" allowBlank="1" showErrorMessage="1" sqref="A7:A36">
      <formula1>"H1 - Holiday,W1 - Test Execution,L1 - Annual Leave,L2 - Sick Leave"</formula1>
    </dataValidation>
    <dataValidation type="list" allowBlank="1" showErrorMessage="1" sqref="B7:B36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5" t="s">
        <v>17</v>
      </c>
      <c r="B7" s="56" t="s">
        <v>16</v>
      </c>
      <c r="C7" s="57">
        <v>46175.0</v>
      </c>
      <c r="D7" s="58">
        <v>0.7708333333333334</v>
      </c>
      <c r="E7" s="59">
        <v>0.8333333333333334</v>
      </c>
      <c r="F7" s="60" t="s">
        <v>26</v>
      </c>
      <c r="G7" s="30">
        <f t="shared" ref="G7:G20" si="1">MAX(IF(F7="YES", ((E7-D7) * 24) - 1, (E7-D7) * 24), 0)</f>
        <v>1.5</v>
      </c>
      <c r="H7" s="61" t="s">
        <v>19</v>
      </c>
    </row>
    <row r="8">
      <c r="A8" s="55" t="s">
        <v>17</v>
      </c>
      <c r="B8" s="56" t="s">
        <v>16</v>
      </c>
      <c r="C8" s="62"/>
      <c r="D8" s="63"/>
      <c r="E8" s="64"/>
      <c r="F8" s="60" t="s">
        <v>26</v>
      </c>
      <c r="G8" s="30">
        <f t="shared" si="1"/>
        <v>0</v>
      </c>
      <c r="H8" s="61"/>
    </row>
    <row r="9" ht="15.75" customHeight="1">
      <c r="A9" s="55" t="s">
        <v>17</v>
      </c>
      <c r="B9" s="56" t="s">
        <v>16</v>
      </c>
      <c r="C9" s="62"/>
      <c r="D9" s="63"/>
      <c r="E9" s="64"/>
      <c r="F9" s="60" t="s">
        <v>26</v>
      </c>
      <c r="G9" s="30">
        <f t="shared" si="1"/>
        <v>0</v>
      </c>
      <c r="H9" s="65"/>
    </row>
    <row r="10" ht="14.25" customHeight="1">
      <c r="A10" s="55" t="s">
        <v>17</v>
      </c>
      <c r="B10" s="56" t="s">
        <v>16</v>
      </c>
      <c r="C10" s="62"/>
      <c r="D10" s="63"/>
      <c r="E10" s="64"/>
      <c r="F10" s="60" t="s">
        <v>26</v>
      </c>
      <c r="G10" s="30">
        <f t="shared" si="1"/>
        <v>0</v>
      </c>
      <c r="H10" s="65"/>
    </row>
    <row r="11">
      <c r="A11" s="55" t="s">
        <v>17</v>
      </c>
      <c r="B11" s="56" t="s">
        <v>16</v>
      </c>
      <c r="C11" s="62"/>
      <c r="D11" s="63"/>
      <c r="E11" s="64"/>
      <c r="F11" s="60" t="s">
        <v>26</v>
      </c>
      <c r="G11" s="30">
        <f t="shared" si="1"/>
        <v>0</v>
      </c>
      <c r="H11" s="61"/>
    </row>
    <row r="12">
      <c r="A12" s="55" t="s">
        <v>17</v>
      </c>
      <c r="B12" s="56" t="s">
        <v>16</v>
      </c>
      <c r="C12" s="62"/>
      <c r="D12" s="63"/>
      <c r="E12" s="64"/>
      <c r="F12" s="60" t="s">
        <v>26</v>
      </c>
      <c r="G12" s="30">
        <f t="shared" si="1"/>
        <v>0</v>
      </c>
      <c r="H12" s="61"/>
    </row>
    <row r="13">
      <c r="A13" s="55" t="s">
        <v>17</v>
      </c>
      <c r="B13" s="56" t="s">
        <v>16</v>
      </c>
      <c r="C13" s="62"/>
      <c r="D13" s="63"/>
      <c r="E13" s="64"/>
      <c r="F13" s="60" t="s">
        <v>26</v>
      </c>
      <c r="G13" s="30">
        <f t="shared" si="1"/>
        <v>0</v>
      </c>
      <c r="H13" s="61"/>
    </row>
    <row r="14">
      <c r="A14" s="55" t="s">
        <v>17</v>
      </c>
      <c r="B14" s="56" t="s">
        <v>16</v>
      </c>
      <c r="C14" s="62"/>
      <c r="D14" s="63"/>
      <c r="E14" s="64"/>
      <c r="F14" s="60" t="s">
        <v>26</v>
      </c>
      <c r="G14" s="30">
        <f t="shared" si="1"/>
        <v>0</v>
      </c>
      <c r="H14" s="61"/>
    </row>
    <row r="15">
      <c r="A15" s="55" t="s">
        <v>17</v>
      </c>
      <c r="B15" s="56" t="s">
        <v>16</v>
      </c>
      <c r="C15" s="62"/>
      <c r="D15" s="63"/>
      <c r="E15" s="64"/>
      <c r="F15" s="60" t="s">
        <v>26</v>
      </c>
      <c r="G15" s="30">
        <f t="shared" si="1"/>
        <v>0</v>
      </c>
      <c r="H15" s="61"/>
    </row>
    <row r="16">
      <c r="A16" s="55" t="s">
        <v>17</v>
      </c>
      <c r="B16" s="56" t="s">
        <v>16</v>
      </c>
      <c r="C16" s="62"/>
      <c r="D16" s="63"/>
      <c r="E16" s="64"/>
      <c r="F16" s="60" t="s">
        <v>26</v>
      </c>
      <c r="G16" s="30">
        <f t="shared" si="1"/>
        <v>0</v>
      </c>
      <c r="H16" s="61"/>
    </row>
    <row r="17">
      <c r="A17" s="55" t="s">
        <v>17</v>
      </c>
      <c r="B17" s="56" t="s">
        <v>16</v>
      </c>
      <c r="C17" s="62"/>
      <c r="D17" s="63"/>
      <c r="E17" s="64"/>
      <c r="F17" s="60" t="s">
        <v>26</v>
      </c>
      <c r="G17" s="30">
        <f t="shared" si="1"/>
        <v>0</v>
      </c>
      <c r="H17" s="61"/>
    </row>
    <row r="18">
      <c r="A18" s="55" t="s">
        <v>17</v>
      </c>
      <c r="B18" s="56" t="s">
        <v>16</v>
      </c>
      <c r="C18" s="62"/>
      <c r="D18" s="63"/>
      <c r="E18" s="64"/>
      <c r="F18" s="60" t="s">
        <v>26</v>
      </c>
      <c r="G18" s="30">
        <f t="shared" si="1"/>
        <v>0</v>
      </c>
      <c r="H18" s="61"/>
    </row>
    <row r="19">
      <c r="A19" s="55" t="s">
        <v>17</v>
      </c>
      <c r="B19" s="56" t="s">
        <v>16</v>
      </c>
      <c r="C19" s="62"/>
      <c r="D19" s="63"/>
      <c r="E19" s="64"/>
      <c r="F19" s="60" t="s">
        <v>26</v>
      </c>
      <c r="G19" s="30">
        <f t="shared" si="1"/>
        <v>0</v>
      </c>
      <c r="H19" s="61"/>
    </row>
    <row r="20">
      <c r="A20" s="55" t="s">
        <v>17</v>
      </c>
      <c r="B20" s="56" t="s">
        <v>16</v>
      </c>
      <c r="C20" s="62"/>
      <c r="D20" s="63"/>
      <c r="E20" s="64"/>
      <c r="F20" s="60" t="s">
        <v>26</v>
      </c>
      <c r="G20" s="30">
        <f t="shared" si="1"/>
        <v>0</v>
      </c>
      <c r="H20" s="61"/>
    </row>
    <row r="21" ht="14.25" customHeight="1">
      <c r="A21" s="38"/>
      <c r="B21" s="38"/>
      <c r="C21" s="38"/>
      <c r="D21" s="11"/>
      <c r="E21" s="11"/>
      <c r="F21" s="11"/>
      <c r="G21" s="11"/>
      <c r="H21" s="11"/>
    </row>
    <row r="22" ht="14.25" customHeight="1">
      <c r="A22" s="39" t="s">
        <v>20</v>
      </c>
      <c r="B22" s="40" t="s">
        <v>21</v>
      </c>
      <c r="C22" s="41" t="s">
        <v>22</v>
      </c>
      <c r="D22" s="11"/>
      <c r="E22" s="11"/>
      <c r="F22" s="11"/>
      <c r="G22" s="11"/>
      <c r="H22" s="11"/>
    </row>
    <row r="23" ht="14.25" customHeight="1">
      <c r="A23" s="42" t="s">
        <v>23</v>
      </c>
      <c r="B23" s="43">
        <f>SUMIF($A$7:$A$20,"W*",$G$7:$G$20)</f>
        <v>1.5</v>
      </c>
      <c r="C23" s="44">
        <f>B23/8</f>
        <v>0.1875</v>
      </c>
      <c r="D23" s="11"/>
      <c r="E23" s="11"/>
      <c r="F23" s="11"/>
      <c r="G23" s="11"/>
      <c r="H23" s="11"/>
    </row>
    <row r="24" ht="14.25" customHeight="1">
      <c r="A24" s="45" t="s">
        <v>24</v>
      </c>
      <c r="B24" s="46">
        <f t="shared" ref="B24:C24" si="2">SUM(B23)</f>
        <v>1.5</v>
      </c>
      <c r="C24" s="47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8"/>
      <c r="D27" s="11"/>
      <c r="E27" s="11"/>
      <c r="F27" s="11"/>
      <c r="G27" s="11"/>
      <c r="H27" s="11"/>
    </row>
    <row r="28" ht="14.25" customHeight="1">
      <c r="A28" s="1"/>
      <c r="B28" s="49"/>
      <c r="C28" s="49"/>
      <c r="D28" s="50"/>
      <c r="E28" s="11"/>
      <c r="F28" s="11"/>
      <c r="G28" s="11"/>
      <c r="H28" s="11"/>
    </row>
    <row r="29" ht="14.25" customHeight="1">
      <c r="A29" s="1"/>
      <c r="B29" s="51"/>
      <c r="C29" s="52"/>
      <c r="D29" s="11"/>
      <c r="E29" s="11"/>
      <c r="F29" s="11"/>
      <c r="G29" s="11"/>
      <c r="H29" s="11"/>
    </row>
    <row r="30" ht="14.25" customHeight="1">
      <c r="A30" s="1"/>
      <c r="B30" s="53"/>
      <c r="D30" s="1"/>
      <c r="E30" s="11"/>
      <c r="F30" s="11"/>
      <c r="G30" s="11"/>
      <c r="H30" s="11"/>
    </row>
    <row r="31" ht="14.25" customHeight="1">
      <c r="A31" s="1"/>
      <c r="B31" s="54"/>
      <c r="C31" s="49"/>
      <c r="D31" s="50"/>
      <c r="E31" s="11"/>
      <c r="F31" s="11"/>
      <c r="G31" s="11"/>
      <c r="H31" s="11"/>
    </row>
    <row r="32" ht="14.25" customHeight="1">
      <c r="A32" s="1"/>
      <c r="B32" s="51" t="s">
        <v>9</v>
      </c>
      <c r="C32" s="52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