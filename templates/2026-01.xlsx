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sheet - Standard Hours" sheetId="1" r:id="rId5"/>
    <sheet state="visible" name="Timesheet - Overtime Hours" sheetId="2" r:id="rId6"/>
  </sheets>
  <definedNames>
    <definedName name="TASK">#REF!</definedName>
    <definedName name="BILLABLE">#REF!</definedName>
    <definedName name="NON_BILLABLE">#REF!</definedName>
    <definedName localSheetId="1" name="Z_3AB8414B_0C44_456F_985F_0FABA95885C7_.wvu.PrintArea">'Timesheet - Overtime Hours'!$A$1:$H$20</definedName>
    <definedName name="PROJECT">#REF!</definedName>
    <definedName name="ROLE">#REF!</definedName>
    <definedName localSheetId="0" name="Z_3AB8414B_0C44_456F_985F_0FABA95885C7_.wvu.PrintArea">'Timesheet - Standard Hours'!$A$1:$H$36</definedName>
    <definedName localSheetId="1" name="Z_AC4AFEEF_A1CF_4707_BF67_DBCC52BB2954_.wvu.PrintArea">'Timesheet - Overtime Hours'!$A$1:$H$20</definedName>
    <definedName localSheetId="0" name="Z_AC4AFEEF_A1CF_4707_BF67_DBCC52BB2954_.wvu.PrintArea">'Timesheet - Standard Hours'!$A$1:$H$36</definedName>
    <definedName hidden="1" localSheetId="1" name="_xlnm._FilterDatabase">'Timesheet - Overtime Hours'!$A$6:$H$21</definedName>
  </definedNames>
  <calcPr/>
</workbook>
</file>

<file path=xl/sharedStrings.xml><?xml version="1.0" encoding="utf-8"?>
<sst xmlns="http://schemas.openxmlformats.org/spreadsheetml/2006/main" count="170" uniqueCount="27">
  <si>
    <t> Timesheet - Standard Hours</t>
  </si>
  <si>
    <t xml:space="preserve">Period : </t>
  </si>
  <si>
    <t>2026 Jan</t>
  </si>
  <si>
    <t xml:space="preserve">Staff Name : </t>
  </si>
  <si>
    <t>&lt;&gt;</t>
  </si>
  <si>
    <t>Site :</t>
  </si>
  <si>
    <t>Key Tasks Accomplished in this period</t>
  </si>
  <si>
    <t>Task Code and Task Name</t>
  </si>
  <si>
    <t>Role</t>
  </si>
  <si>
    <t>Date</t>
  </si>
  <si>
    <t>Time In</t>
  </si>
  <si>
    <t>Time Out</t>
  </si>
  <si>
    <t>Included Lunch Time</t>
  </si>
  <si>
    <t>Hours</t>
  </si>
  <si>
    <t>Detail</t>
  </si>
  <si>
    <t>H1 - Holiday</t>
  </si>
  <si>
    <t>Junior QA Consult</t>
  </si>
  <si>
    <t>W1 - Test Execution</t>
  </si>
  <si>
    <t>YES</t>
  </si>
  <si>
    <t>Execute LMS test</t>
  </si>
  <si>
    <t>Task</t>
  </si>
  <si>
    <t>Total Hours</t>
  </si>
  <si>
    <t>Total Days</t>
  </si>
  <si>
    <t>Work Time</t>
  </si>
  <si>
    <t>Grand Total</t>
  </si>
  <si>
    <t xml:space="preserve"> Timesheet - Overtime Hours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</si>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</sst>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[$]hh:mm"/>
    <numFmt numFmtId="166" formatCode="[$-F800]dddd\,\ mmmm\ dd\,\ yyyy"/>
  </numFmts>
  <fonts count="16">
    <font>
      <sz val="11.0"/>
      <color rgb="FF000000"/>
      <name val="Tahoma"/>
      <scheme val="minor"/>
    </font>
    <font>
      <sz val="11.0"/>
      <color rgb="FF000000"/>
      <name val="Tahoma"/>
    </font>
    <font>
      <b/>
      <sz val="18.0"/>
      <color rgb="FF1D1C1D"/>
      <name val="Arial"/>
    </font>
    <font>
      <b/>
      <sz val="12.0"/>
      <color theme="1"/>
      <name val="Tahoma"/>
    </font>
    <font>
      <sz val="12.0"/>
      <color theme="1"/>
      <name val="Tahoma"/>
    </font>
    <font/>
    <font>
      <b/>
      <sz val="12.0"/>
      <color rgb="FF000000"/>
      <name val="Tahoma"/>
    </font>
    <font>
      <sz val="12.0"/>
      <color rgb="FF000000"/>
      <name val="Tahoma"/>
    </font>
    <font>
      <b/>
      <i/>
      <sz val="10.0"/>
      <color rgb="FF0000FF"/>
      <name val="Tahoma"/>
    </font>
    <font>
      <sz val="10.0"/>
      <color rgb="FF000000"/>
      <name val="Tahoma"/>
    </font>
    <font>
      <b/>
      <sz val="10.0"/>
      <color rgb="FF000000"/>
      <name val="Tahoma"/>
    </font>
    <font>
      <sz val="10.0"/>
      <color theme="1"/>
      <name val="Tahoma"/>
    </font>
    <font>
      <sz val="11.0"/>
      <color theme="1"/>
      <name val="Calibri"/>
    </font>
    <font>
      <sz val="11.0"/>
      <color theme="1"/>
      <name val="Tahoma"/>
    </font>
    <font>
      <sz val="11.0"/>
      <color theme="1"/>
      <name val="Arial"/>
    </font>
    <font>
      <sz val="14.0"/>
      <color rgb="FF002060"/>
      <name val="Caveat"/>
    </font>
  </fonts>
  <fills count="9">
    <fill>
      <patternFill patternType="none"/>
    </fill>
    <fill>
      <patternFill patternType="lightGray"/>
    </fill>
    <fill>
      <patternFill patternType="solid">
        <fgColor rgb="FFEAD500"/>
        <bgColor rgb="FFEAD500"/>
      </patternFill>
    </fill>
    <fill>
      <patternFill patternType="solid">
        <fgColor rgb="FFFFFA58"/>
        <bgColor rgb="FFFFFA58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C0C0C0"/>
        <bgColor rgb="FFC0C0C0"/>
      </patternFill>
    </fill>
  </fills>
  <borders count="1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right" shrinkToFit="0" wrapText="1"/>
    </xf>
    <xf borderId="2" fillId="2" fontId="4" numFmtId="0" xfId="0" applyAlignment="1" applyBorder="1" applyFont="1">
      <alignment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3" fontId="6" numFmtId="0" xfId="0" applyAlignment="1" applyBorder="1" applyFill="1" applyFont="1">
      <alignment horizontal="right" shrinkToFit="0" wrapText="1"/>
    </xf>
    <xf borderId="1" fillId="3" fontId="7" numFmtId="0" xfId="0" applyAlignment="1" applyBorder="1" applyFont="1">
      <alignment horizontal="left" shrinkToFit="0" wrapText="1"/>
    </xf>
    <xf borderId="1" fillId="3" fontId="7" numFmtId="0" xfId="0" applyAlignment="1" applyBorder="1" applyFont="1">
      <alignment horizontal="left"/>
    </xf>
    <xf borderId="1" fillId="3" fontId="6" numFmtId="0" xfId="0" applyAlignment="1" applyBorder="1" applyFont="1">
      <alignment shrinkToFit="0" wrapText="1"/>
    </xf>
    <xf borderId="0" fillId="0" fontId="1" numFmtId="0" xfId="0" applyFont="1"/>
    <xf borderId="0" fillId="0" fontId="8" numFmtId="0" xfId="0" applyFont="1"/>
    <xf borderId="0" fillId="0" fontId="9" numFmtId="0" xfId="0" applyFont="1"/>
    <xf borderId="5" fillId="4" fontId="10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5" fontId="12" numFmtId="164" xfId="0" applyAlignment="1" applyBorder="1" applyFont="1" applyNumberFormat="1">
      <alignment horizontal="center" vertical="center"/>
    </xf>
    <xf borderId="6" fillId="5" fontId="13" numFmtId="165" xfId="0" applyAlignment="1" applyBorder="1" applyFont="1" applyNumberFormat="1">
      <alignment horizontal="center" vertical="center"/>
    </xf>
    <xf borderId="5" fillId="5" fontId="13" numFmtId="165" xfId="0" applyAlignment="1" applyBorder="1" applyFont="1" applyNumberFormat="1">
      <alignment horizontal="center" vertical="center"/>
    </xf>
    <xf borderId="5" fillId="5" fontId="13" numFmtId="20" xfId="0" applyAlignment="1" applyBorder="1" applyFont="1" applyNumberFormat="1">
      <alignment horizontal="center" vertical="center"/>
    </xf>
    <xf borderId="5" fillId="5" fontId="13" numFmtId="2" xfId="0" applyAlignment="1" applyBorder="1" applyFont="1" applyNumberFormat="1">
      <alignment horizontal="center" vertical="center"/>
    </xf>
    <xf borderId="7" fillId="5" fontId="13" numFmtId="2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7" fillId="5" fontId="13" numFmtId="0" xfId="0" applyAlignment="1" applyBorder="1" applyFont="1">
      <alignment vertical="center"/>
    </xf>
    <xf borderId="6" fillId="6" fontId="11" numFmtId="0" xfId="0" applyAlignment="1" applyBorder="1" applyFill="1" applyFont="1">
      <alignment horizontal="center" shrinkToFit="0" vertical="center" wrapText="1"/>
    </xf>
    <xf borderId="6" fillId="6" fontId="12" numFmtId="164" xfId="0" applyAlignment="1" applyBorder="1" applyFont="1" applyNumberFormat="1">
      <alignment horizontal="center" vertical="center"/>
    </xf>
    <xf borderId="6" fillId="6" fontId="12" numFmtId="165" xfId="0" applyAlignment="1" applyBorder="1" applyFont="1" applyNumberFormat="1">
      <alignment horizontal="center" vertical="center"/>
    </xf>
    <xf borderId="5" fillId="6" fontId="12" numFmtId="165" xfId="0" applyAlignment="1" applyBorder="1" applyFont="1" applyNumberFormat="1">
      <alignment horizontal="center" vertical="center"/>
    </xf>
    <xf borderId="5" fillId="6" fontId="12" numFmtId="20" xfId="0" applyAlignment="1" applyBorder="1" applyFont="1" applyNumberFormat="1">
      <alignment horizontal="center" vertical="center"/>
    </xf>
    <xf borderId="5" fillId="7" fontId="12" numFmtId="2" xfId="0" applyAlignment="1" applyBorder="1" applyFill="1" applyFont="1" applyNumberFormat="1">
      <alignment horizontal="center" vertical="center"/>
    </xf>
    <xf borderId="7" fillId="6" fontId="14" numFmtId="2" xfId="0" applyAlignment="1" applyBorder="1" applyFont="1" applyNumberFormat="1">
      <alignment shrinkToFit="0" vertical="center" wrapText="1"/>
    </xf>
    <xf borderId="7" fillId="6" fontId="13" numFmtId="0" xfId="0" applyAlignment="1" applyBorder="1" applyFont="1">
      <alignment vertical="center"/>
    </xf>
    <xf borderId="1" fillId="6" fontId="13" numFmtId="0" xfId="0" applyAlignment="1" applyBorder="1" applyFont="1">
      <alignment vertical="center"/>
    </xf>
    <xf borderId="7" fillId="6" fontId="13" numFmtId="2" xfId="0" applyAlignment="1" applyBorder="1" applyFont="1" applyNumberFormat="1">
      <alignment vertical="center"/>
    </xf>
    <xf quotePrefix="1" borderId="6" fillId="6" fontId="11" numFmtId="0" xfId="0" applyAlignment="1" applyBorder="1" applyFont="1">
      <alignment horizontal="center" shrinkToFit="0" vertical="center" wrapText="1"/>
    </xf>
    <xf borderId="5" fillId="5" fontId="13" numFmtId="0" xfId="0" applyAlignment="1" applyBorder="1" applyFont="1">
      <alignment horizontal="center" vertical="center"/>
    </xf>
    <xf borderId="5" fillId="5" fontId="13" numFmtId="2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8" fillId="8" fontId="10" numFmtId="0" xfId="0" applyAlignment="1" applyBorder="1" applyFill="1" applyFont="1">
      <alignment horizontal="center" shrinkToFit="0" vertical="center" wrapText="1"/>
    </xf>
    <xf borderId="9" fillId="8" fontId="10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6" fillId="0" fontId="9" numFmtId="2" xfId="0" applyAlignment="1" applyBorder="1" applyFont="1" applyNumberFormat="1">
      <alignment horizontal="right"/>
    </xf>
    <xf borderId="12" fillId="0" fontId="11" numFmtId="2" xfId="0" applyBorder="1" applyFont="1" applyNumberFormat="1"/>
    <xf borderId="13" fillId="0" fontId="10" numFmtId="0" xfId="0" applyBorder="1" applyFont="1"/>
    <xf borderId="14" fillId="0" fontId="9" numFmtId="2" xfId="0" applyAlignment="1" applyBorder="1" applyFont="1" applyNumberFormat="1">
      <alignment shrinkToFit="0" wrapText="1"/>
    </xf>
    <xf borderId="15" fillId="0" fontId="9" numFmtId="2" xfId="0" applyAlignment="1" applyBorder="1" applyFont="1" applyNumberFormat="1">
      <alignment horizontal="right" shrinkToFit="0" wrapText="1"/>
    </xf>
    <xf borderId="0" fillId="0" fontId="15" numFmtId="0" xfId="0" applyAlignment="1" applyFont="1">
      <alignment horizontal="center" shrinkToFit="0" wrapText="1"/>
    </xf>
    <xf borderId="16" fillId="0" fontId="5" numFmtId="0" xfId="0" applyBorder="1" applyFont="1"/>
    <xf borderId="0" fillId="0" fontId="9" numFmtId="0" xfId="0" applyAlignment="1" applyFont="1">
      <alignment shrinkToFit="0" wrapText="1"/>
    </xf>
    <xf borderId="17" fillId="0" fontId="9" numFmtId="0" xfId="0" applyAlignment="1" applyBorder="1" applyFont="1">
      <alignment horizontal="center" shrinkToFit="0" wrapText="1"/>
    </xf>
    <xf borderId="17" fillId="0" fontId="5" numFmtId="0" xfId="0" applyBorder="1" applyFont="1"/>
    <xf borderId="0" fillId="0" fontId="1" numFmtId="0" xfId="0" applyAlignment="1" applyFont="1">
      <alignment horizontal="center" shrinkToFit="0" wrapText="1"/>
    </xf>
    <xf borderId="16" fillId="0" fontId="9" numFmtId="166" xfId="0" applyAlignment="1" applyBorder="1" applyFont="1" applyNumberFormat="1">
      <alignment horizontal="center" shrinkToFit="0" wrapText="1"/>
    </xf>
    <xf quotePrefix="1" borderId="6" fillId="4" fontId="11" numFmtId="0" xfId="0" applyAlignment="1" applyBorder="1" applyFont="1">
      <alignment horizontal="center" shrinkToFit="0" vertical="center" wrapText="1"/>
    </xf>
    <xf borderId="6" fillId="4" fontId="12" numFmtId="164" xfId="0" applyAlignment="1" applyBorder="1" applyFont="1" applyNumberFormat="1">
      <alignment horizontal="center" readingOrder="0" vertical="center"/>
    </xf>
    <xf borderId="6" fillId="4" fontId="12" numFmtId="165" xfId="0" applyAlignment="1" applyBorder="1" applyFont="1" applyNumberFormat="1">
      <alignment horizontal="center" readingOrder="0" vertical="center"/>
    </xf>
    <xf borderId="5" fillId="4" fontId="12" numFmtId="165" xfId="0" applyAlignment="1" applyBorder="1" applyFont="1" applyNumberFormat="1">
      <alignment horizontal="center" readingOrder="0" vertical="center"/>
    </xf>
    <xf borderId="5" fillId="4" fontId="12" numFmtId="20" xfId="0" applyAlignment="1" applyBorder="1" applyFont="1" applyNumberFormat="1">
      <alignment horizontal="center"/>
    </xf>
    <xf borderId="6" fillId="4" fontId="12" numFmtId="164" xfId="0" applyAlignment="1" applyBorder="1" applyFont="1" applyNumberFormat="1">
      <alignment horizontal="center" vertical="center"/>
    </xf>
    <xf borderId="6" fillId="4" fontId="12" numFmtId="165" xfId="0" applyAlignment="1" applyBorder="1" applyFont="1" applyNumberFormat="1">
      <alignment horizontal="center" vertical="center"/>
    </xf>
    <xf borderId="5" fillId="4" fontId="12" numFmtId="165" xfId="0" applyAlignment="1" applyBorder="1" applyFont="1" applyNumberFormat="1">
      <alignment horizontal="center" vertical="center"/>
    </xf>
    <xf borderId="7" fillId="4" fontId="14" numFmtId="2" xfId="0" applyAlignment="1" applyBorder="1" applyFont="1" applyNumberFormat="1">
      <alignment horizontal="left" shrinkToFit="0" vertical="center" wrapText="1"/>
    </xf>
    <xf borderId="7" fillId="4" fontId="1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051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  <col customWidth="1" min="9" max="9" width="17.13"/>
  </cols>
  <sheetData>
    <row r="1" ht="75.0" customHeight="1">
      <c r="A1" s="1"/>
      <c r="B1" s="1"/>
      <c r="C1" s="2" t="s">
        <v>0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 ht="14.25" customHeight="1">
      <c r="A7" s="15" t="s">
        <v>15</v>
      </c>
      <c r="B7" s="16" t="s">
        <v>16</v>
      </c>
      <c r="C7" s="17">
        <v>46023.0</v>
      </c>
      <c r="D7" s="18"/>
      <c r="E7" s="19"/>
      <c r="F7" s="20"/>
      <c r="G7" s="21"/>
      <c r="H7" s="22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5" t="s">
        <v>15</v>
      </c>
      <c r="B8" s="16" t="s">
        <v>16</v>
      </c>
      <c r="C8" s="17">
        <v>46024.0</v>
      </c>
      <c r="D8" s="18"/>
      <c r="E8" s="19"/>
      <c r="F8" s="20"/>
      <c r="G8" s="21"/>
      <c r="H8" s="22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5" t="s">
        <v>15</v>
      </c>
      <c r="B9" s="16" t="s">
        <v>16</v>
      </c>
      <c r="C9" s="17">
        <v>46025.0</v>
      </c>
      <c r="D9" s="18"/>
      <c r="E9" s="19"/>
      <c r="F9" s="20"/>
      <c r="G9" s="21"/>
      <c r="H9" s="22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15" t="s">
        <v>15</v>
      </c>
      <c r="B10" s="16" t="s">
        <v>16</v>
      </c>
      <c r="C10" s="17">
        <v>46026.0</v>
      </c>
      <c r="D10" s="18"/>
      <c r="E10" s="19"/>
      <c r="F10" s="20"/>
      <c r="G10" s="21"/>
      <c r="H10" s="24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5" t="s">
        <v>17</v>
      </c>
      <c r="B11" s="16" t="s">
        <v>16</v>
      </c>
      <c r="C11" s="26">
        <v>46027.0</v>
      </c>
      <c r="D11" s="27">
        <v>0.375</v>
      </c>
      <c r="E11" s="28">
        <v>0.75</v>
      </c>
      <c r="F11" s="29" t="s">
        <v>18</v>
      </c>
      <c r="G11" s="30">
        <f t="shared" ref="G11:G15" si="1">MIN(MAX(IF(F11="YES", ((E11-D11) * 24) - 1, (E11-D11) * 24), 0), 8)</f>
        <v>8</v>
      </c>
      <c r="H11" s="31" t="s">
        <v>19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5" t="s">
        <v>17</v>
      </c>
      <c r="B12" s="16" t="s">
        <v>16</v>
      </c>
      <c r="C12" s="26">
        <v>46028.0</v>
      </c>
      <c r="D12" s="27"/>
      <c r="E12" s="28"/>
      <c r="F12" s="29" t="s">
        <v>18</v>
      </c>
      <c r="G12" s="30">
        <f t="shared" si="1"/>
        <v>0</v>
      </c>
      <c r="H12" s="32"/>
      <c r="I12" s="3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5" t="s">
        <v>17</v>
      </c>
      <c r="B13" s="16" t="s">
        <v>16</v>
      </c>
      <c r="C13" s="26">
        <v>46029.0</v>
      </c>
      <c r="D13" s="27"/>
      <c r="E13" s="28"/>
      <c r="F13" s="29" t="s">
        <v>18</v>
      </c>
      <c r="G13" s="30">
        <f t="shared" si="1"/>
        <v>0</v>
      </c>
      <c r="H13" s="32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5" t="s">
        <v>17</v>
      </c>
      <c r="B14" s="16" t="s">
        <v>16</v>
      </c>
      <c r="C14" s="26">
        <v>46030.0</v>
      </c>
      <c r="D14" s="27"/>
      <c r="E14" s="28"/>
      <c r="F14" s="29" t="s">
        <v>18</v>
      </c>
      <c r="G14" s="30">
        <f t="shared" si="1"/>
        <v>0</v>
      </c>
      <c r="H14" s="34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5" t="s">
        <v>17</v>
      </c>
      <c r="B15" s="16" t="s">
        <v>16</v>
      </c>
      <c r="C15" s="26">
        <v>46031.0</v>
      </c>
      <c r="D15" s="27"/>
      <c r="E15" s="28"/>
      <c r="F15" s="29" t="s">
        <v>18</v>
      </c>
      <c r="G15" s="30">
        <f t="shared" si="1"/>
        <v>0</v>
      </c>
      <c r="H15" s="34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5" t="s">
        <v>15</v>
      </c>
      <c r="B16" s="16" t="s">
        <v>16</v>
      </c>
      <c r="C16" s="17">
        <v>46032.0</v>
      </c>
      <c r="D16" s="18"/>
      <c r="E16" s="19"/>
      <c r="F16" s="20"/>
      <c r="G16" s="21"/>
      <c r="H16" s="22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5" t="s">
        <v>15</v>
      </c>
      <c r="B17" s="16" t="s">
        <v>16</v>
      </c>
      <c r="C17" s="17">
        <v>46033.0</v>
      </c>
      <c r="D17" s="18"/>
      <c r="E17" s="19"/>
      <c r="F17" s="20"/>
      <c r="G17" s="21"/>
      <c r="H17" s="22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5" t="s">
        <v>17</v>
      </c>
      <c r="B18" s="16" t="s">
        <v>16</v>
      </c>
      <c r="C18" s="26">
        <v>46034.0</v>
      </c>
      <c r="D18" s="27"/>
      <c r="E18" s="28"/>
      <c r="F18" s="29" t="s">
        <v>18</v>
      </c>
      <c r="G18" s="30">
        <f t="shared" ref="G18:G22" si="2">MIN(MAX(IF(F18="YES", ((E18-D18) * 24) - 1, (E18-D18) * 24), 0), 8)</f>
        <v>0</v>
      </c>
      <c r="H18" s="34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5" t="s">
        <v>17</v>
      </c>
      <c r="B19" s="16" t="s">
        <v>16</v>
      </c>
      <c r="C19" s="26">
        <v>46035.0</v>
      </c>
      <c r="D19" s="27"/>
      <c r="E19" s="28"/>
      <c r="F19" s="29" t="s">
        <v>18</v>
      </c>
      <c r="G19" s="30">
        <f t="shared" si="2"/>
        <v>0</v>
      </c>
      <c r="H19" s="3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5" t="s">
        <v>17</v>
      </c>
      <c r="B20" s="16" t="s">
        <v>16</v>
      </c>
      <c r="C20" s="26">
        <v>46036.0</v>
      </c>
      <c r="D20" s="27"/>
      <c r="E20" s="28"/>
      <c r="F20" s="29" t="s">
        <v>18</v>
      </c>
      <c r="G20" s="30">
        <f t="shared" si="2"/>
        <v>0</v>
      </c>
      <c r="H20" s="3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5" t="s">
        <v>17</v>
      </c>
      <c r="B21" s="16" t="s">
        <v>16</v>
      </c>
      <c r="C21" s="26">
        <v>46037.0</v>
      </c>
      <c r="D21" s="27"/>
      <c r="E21" s="28"/>
      <c r="F21" s="29" t="s">
        <v>18</v>
      </c>
      <c r="G21" s="30">
        <f t="shared" si="2"/>
        <v>0</v>
      </c>
      <c r="H21" s="34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5" t="s">
        <v>17</v>
      </c>
      <c r="B22" s="16" t="s">
        <v>16</v>
      </c>
      <c r="C22" s="26">
        <v>46038.0</v>
      </c>
      <c r="D22" s="27"/>
      <c r="E22" s="28"/>
      <c r="F22" s="29" t="s">
        <v>18</v>
      </c>
      <c r="G22" s="30">
        <f t="shared" si="2"/>
        <v>0</v>
      </c>
      <c r="H22" s="34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15" t="s">
        <v>15</v>
      </c>
      <c r="B23" s="16" t="s">
        <v>16</v>
      </c>
      <c r="C23" s="17">
        <v>46039.0</v>
      </c>
      <c r="D23" s="18"/>
      <c r="E23" s="19"/>
      <c r="F23" s="20"/>
      <c r="G23" s="21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15" t="s">
        <v>15</v>
      </c>
      <c r="B24" s="16" t="s">
        <v>16</v>
      </c>
      <c r="C24" s="17">
        <v>46040.0</v>
      </c>
      <c r="D24" s="18"/>
      <c r="E24" s="19"/>
      <c r="F24" s="20"/>
      <c r="G24" s="21"/>
      <c r="H24" s="2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5" t="s">
        <v>17</v>
      </c>
      <c r="B25" s="16" t="s">
        <v>16</v>
      </c>
      <c r="C25" s="26">
        <v>46041.0</v>
      </c>
      <c r="D25" s="27"/>
      <c r="E25" s="28"/>
      <c r="F25" s="29" t="s">
        <v>18</v>
      </c>
      <c r="G25" s="30">
        <f t="shared" ref="G25:G29" si="3">MIN(MAX(IF(F25="YES", ((E25-D25) * 24) - 1, (E25-D25) * 24), 0), 8)</f>
        <v>0</v>
      </c>
      <c r="H25" s="34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5" t="s">
        <v>17</v>
      </c>
      <c r="B26" s="16" t="s">
        <v>16</v>
      </c>
      <c r="C26" s="26">
        <v>46042.0</v>
      </c>
      <c r="D26" s="27"/>
      <c r="E26" s="28"/>
      <c r="F26" s="29" t="s">
        <v>18</v>
      </c>
      <c r="G26" s="30">
        <f t="shared" si="3"/>
        <v>0</v>
      </c>
      <c r="H26" s="34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0" customHeight="1">
      <c r="A27" s="25" t="s">
        <v>17</v>
      </c>
      <c r="B27" s="16" t="s">
        <v>16</v>
      </c>
      <c r="C27" s="26">
        <v>46043.0</v>
      </c>
      <c r="D27" s="27"/>
      <c r="E27" s="28"/>
      <c r="F27" s="29" t="s">
        <v>18</v>
      </c>
      <c r="G27" s="30">
        <f t="shared" si="3"/>
        <v>0</v>
      </c>
      <c r="H27" s="34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5" t="s">
        <v>17</v>
      </c>
      <c r="B28" s="16" t="s">
        <v>16</v>
      </c>
      <c r="C28" s="26">
        <v>46044.0</v>
      </c>
      <c r="D28" s="27"/>
      <c r="E28" s="28"/>
      <c r="F28" s="29" t="s">
        <v>18</v>
      </c>
      <c r="G28" s="30">
        <f t="shared" si="3"/>
        <v>0</v>
      </c>
      <c r="H28" s="34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5" t="s">
        <v>17</v>
      </c>
      <c r="B29" s="16" t="s">
        <v>16</v>
      </c>
      <c r="C29" s="26">
        <v>46045.0</v>
      </c>
      <c r="D29" s="27"/>
      <c r="E29" s="28"/>
      <c r="F29" s="29" t="s">
        <v>18</v>
      </c>
      <c r="G29" s="30">
        <f t="shared" si="3"/>
        <v>0</v>
      </c>
      <c r="H29" s="34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15" t="s">
        <v>15</v>
      </c>
      <c r="B30" s="16" t="s">
        <v>16</v>
      </c>
      <c r="C30" s="17">
        <v>46046.0</v>
      </c>
      <c r="D30" s="18"/>
      <c r="E30" s="19"/>
      <c r="F30" s="20"/>
      <c r="G30" s="21"/>
      <c r="H30" s="2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15" t="s">
        <v>15</v>
      </c>
      <c r="B31" s="16" t="s">
        <v>16</v>
      </c>
      <c r="C31" s="17">
        <v>46047.0</v>
      </c>
      <c r="D31" s="18"/>
      <c r="E31" s="19"/>
      <c r="F31" s="20"/>
      <c r="G31" s="21"/>
      <c r="H31" s="2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5" t="s">
        <v>17</v>
      </c>
      <c r="B32" s="16" t="s">
        <v>16</v>
      </c>
      <c r="C32" s="26">
        <v>46048.0</v>
      </c>
      <c r="D32" s="27"/>
      <c r="E32" s="28"/>
      <c r="F32" s="29" t="s">
        <v>18</v>
      </c>
      <c r="G32" s="30">
        <f t="shared" ref="G32:G36" si="4">MIN(MAX(IF(F32="YES", ((E32-D32) * 24) - 1, (E32-D32) * 24), 0), 8)</f>
        <v>0</v>
      </c>
      <c r="H32" s="34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5" t="s">
        <v>17</v>
      </c>
      <c r="B33" s="16" t="s">
        <v>16</v>
      </c>
      <c r="C33" s="26">
        <v>46049.0</v>
      </c>
      <c r="D33" s="27"/>
      <c r="E33" s="28"/>
      <c r="F33" s="29" t="s">
        <v>18</v>
      </c>
      <c r="G33" s="30">
        <f t="shared" si="4"/>
        <v>0</v>
      </c>
      <c r="H33" s="3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5" t="s">
        <v>17</v>
      </c>
      <c r="B34" s="16" t="s">
        <v>16</v>
      </c>
      <c r="C34" s="26">
        <v>46050.0</v>
      </c>
      <c r="D34" s="27"/>
      <c r="E34" s="28"/>
      <c r="F34" s="29" t="s">
        <v>18</v>
      </c>
      <c r="G34" s="30">
        <f t="shared" si="4"/>
        <v>0</v>
      </c>
      <c r="H34" s="3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5" t="s">
        <v>17</v>
      </c>
      <c r="B35" s="16" t="s">
        <v>16</v>
      </c>
      <c r="C35" s="26">
        <v>46051.0</v>
      </c>
      <c r="D35" s="27"/>
      <c r="E35" s="28"/>
      <c r="F35" s="29" t="s">
        <v>18</v>
      </c>
      <c r="G35" s="30">
        <f t="shared" si="4"/>
        <v>0</v>
      </c>
      <c r="H35" s="34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5" t="s">
        <v>17</v>
      </c>
      <c r="B36" s="16" t="s">
        <v>16</v>
      </c>
      <c r="C36" s="26">
        <v>46052.0</v>
      </c>
      <c r="D36" s="27"/>
      <c r="E36" s="28"/>
      <c r="F36" s="29" t="s">
        <v>18</v>
      </c>
      <c r="G36" s="30">
        <f t="shared" si="4"/>
        <v>0</v>
      </c>
      <c r="H36" s="34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15" t="s">
        <v>15</v>
      </c>
      <c r="B37" s="16" t="s">
        <v>16</v>
      </c>
      <c r="C37" s="17">
        <v>46053.0</v>
      </c>
      <c r="D37" s="18"/>
      <c r="E37" s="19"/>
      <c r="F37" s="36"/>
      <c r="G37" s="37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38"/>
      <c r="B38" s="38"/>
      <c r="C38" s="38"/>
      <c r="D38" s="11"/>
      <c r="E38" s="11"/>
      <c r="F38" s="11"/>
      <c r="G38" s="11"/>
      <c r="H38" s="11"/>
    </row>
    <row r="39" ht="14.25" customHeight="1">
      <c r="A39" s="39" t="s">
        <v>20</v>
      </c>
      <c r="B39" s="40" t="s">
        <v>21</v>
      </c>
      <c r="C39" s="41" t="s">
        <v>22</v>
      </c>
      <c r="D39" s="11"/>
      <c r="E39" s="11"/>
      <c r="F39" s="11"/>
      <c r="G39" s="11"/>
      <c r="H39" s="11"/>
    </row>
    <row r="40" ht="14.25" customHeight="1">
      <c r="A40" s="42" t="s">
        <v>23</v>
      </c>
      <c r="B40" s="43">
        <f>SUMIF($A$7:$A$37,"W*",$G$7:$G$37)</f>
        <v>8</v>
      </c>
      <c r="C40" s="44">
        <f>B40/8</f>
        <v>1</v>
      </c>
      <c r="D40" s="11"/>
      <c r="E40" s="11"/>
      <c r="F40" s="11"/>
      <c r="G40" s="11"/>
      <c r="H40" s="11"/>
    </row>
    <row r="41" ht="14.25" customHeight="1">
      <c r="A41" s="45" t="s">
        <v>24</v>
      </c>
      <c r="B41" s="46">
        <f t="shared" ref="B41:C41" si="5">SUM(B40)</f>
        <v>8</v>
      </c>
      <c r="C41" s="47">
        <f t="shared" si="5"/>
        <v>1</v>
      </c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48"/>
      <c r="D44" s="11"/>
      <c r="E44" s="11"/>
      <c r="F44" s="11"/>
      <c r="G44" s="11"/>
      <c r="H44" s="11"/>
    </row>
    <row r="45" ht="14.25" customHeight="1">
      <c r="A45" s="1"/>
      <c r="B45" s="49"/>
      <c r="C45" s="49"/>
      <c r="D45" s="50"/>
      <c r="E45" s="11"/>
      <c r="F45" s="11"/>
      <c r="G45" s="11"/>
      <c r="H45" s="11"/>
    </row>
    <row r="46" ht="14.25" customHeight="1">
      <c r="A46" s="1"/>
      <c r="B46" s="51"/>
      <c r="C46" s="52"/>
      <c r="D46" s="11"/>
      <c r="E46" s="11"/>
      <c r="F46" s="11"/>
      <c r="G46" s="11"/>
      <c r="H46" s="11"/>
    </row>
    <row r="47" ht="14.25" customHeight="1">
      <c r="A47" s="1"/>
      <c r="B47" s="53"/>
      <c r="D47" s="1"/>
      <c r="E47" s="11"/>
      <c r="F47" s="11"/>
      <c r="G47" s="11"/>
      <c r="H47" s="11"/>
    </row>
    <row r="48" ht="14.25" customHeight="1">
      <c r="A48" s="1"/>
      <c r="B48" s="54"/>
      <c r="C48" s="49"/>
      <c r="D48" s="50"/>
      <c r="E48" s="11"/>
      <c r="F48" s="11"/>
      <c r="G48" s="11"/>
      <c r="H48" s="11"/>
    </row>
    <row r="49" ht="14.25" customHeight="1">
      <c r="A49" s="1"/>
      <c r="B49" s="51" t="s">
        <v>9</v>
      </c>
      <c r="C49" s="52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E52" s="11"/>
      <c r="F52" s="11"/>
      <c r="G52" s="11"/>
      <c r="H52" s="11"/>
    </row>
    <row r="53" ht="14.25" customHeight="1">
      <c r="E53" s="11"/>
      <c r="F53" s="11"/>
      <c r="G53" s="11"/>
      <c r="H53" s="11"/>
    </row>
    <row r="54" ht="14.25" customHeight="1">
      <c r="E54" s="11"/>
      <c r="F54" s="11"/>
      <c r="G54" s="11"/>
      <c r="H54" s="11"/>
    </row>
    <row r="55" ht="14.25" customHeight="1">
      <c r="E55" s="11"/>
      <c r="F55" s="11"/>
      <c r="G55" s="11"/>
      <c r="H55" s="11"/>
    </row>
    <row r="56" ht="14.25" customHeight="1">
      <c r="E56" s="11"/>
      <c r="F56" s="11"/>
      <c r="G56" s="11"/>
      <c r="H56" s="11"/>
    </row>
    <row r="57" ht="14.25" customHeight="1"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H2"/>
    <mergeCell ref="B44:C45"/>
    <mergeCell ref="B46:C46"/>
    <mergeCell ref="B47:C47"/>
    <mergeCell ref="B48:C48"/>
    <mergeCell ref="B49:C49"/>
  </mergeCells>
  <conditionalFormatting sqref="A7:H37">
    <cfRule type="expression" dxfId="0" priority="1" stopIfTrue="1">
      <formula>OR(LEFT($A7, 2)="H1", LEFT($A7, 2)="L1", LEFT($A7, 2)="L2")</formula>
    </cfRule>
  </conditionalFormatting>
  <conditionalFormatting sqref="G7:G37">
    <cfRule type="expression" dxfId="1" priority="2" stopIfTrue="1">
      <formula>OR(LEFT($A7, 2)="W1")</formula>
    </cfRule>
  </conditionalFormatting>
  <dataValidations>
    <dataValidation type="list" allowBlank="1" showErrorMessage="1" sqref="F7:F37">
      <formula1>"YES,NO"</formula1>
    </dataValidation>
    <dataValidation type="list" allowBlank="1" showErrorMessage="1" sqref="A7:A37">
      <formula1>"H1 - Holiday,W1 - Test Execution,L1 - Annual Leave,L2 - Sick Leave"</formula1>
    </dataValidation>
    <dataValidation type="list" allowBlank="1" showErrorMessage="1" sqref="B7:B37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19.63"/>
    <col customWidth="1" min="2" max="2" width="22.0"/>
    <col customWidth="1" min="3" max="3" width="16.13"/>
    <col customWidth="1" min="4" max="4" width="11.88"/>
    <col customWidth="1" min="5" max="6" width="12.88"/>
    <col customWidth="1" min="7" max="7" width="11.88"/>
    <col customWidth="1" min="8" max="8" width="68.0"/>
  </cols>
  <sheetData>
    <row r="1" ht="75.0" customHeight="1">
      <c r="A1" s="1"/>
      <c r="B1" s="1"/>
      <c r="C1" s="2" t="s">
        <v>25</v>
      </c>
      <c r="D1" s="1"/>
      <c r="E1" s="1"/>
      <c r="F1" s="1"/>
      <c r="G1" s="1"/>
      <c r="H1" s="1"/>
    </row>
    <row r="2">
      <c r="A2" s="3" t="s">
        <v>1</v>
      </c>
      <c r="B2" s="4" t="s">
        <v>2</v>
      </c>
      <c r="C2" s="5"/>
      <c r="D2" s="5"/>
      <c r="E2" s="5"/>
      <c r="F2" s="5"/>
      <c r="G2" s="5"/>
      <c r="H2" s="6"/>
    </row>
    <row r="3">
      <c r="A3" s="7" t="s">
        <v>3</v>
      </c>
      <c r="B3" s="8" t="s">
        <v>4</v>
      </c>
      <c r="C3" s="7" t="s">
        <v>5</v>
      </c>
      <c r="D3" s="9" t="s">
        <v>4</v>
      </c>
      <c r="E3" s="10"/>
      <c r="F3" s="10"/>
      <c r="G3" s="7"/>
      <c r="H3" s="7"/>
    </row>
    <row r="4" ht="4.5" customHeight="1">
      <c r="A4" s="11"/>
      <c r="B4" s="11"/>
      <c r="C4" s="11"/>
      <c r="D4" s="11"/>
      <c r="E4" s="11"/>
      <c r="F4" s="11"/>
      <c r="G4" s="11"/>
      <c r="H4" s="11"/>
    </row>
    <row r="5" ht="14.25" customHeight="1">
      <c r="A5" s="12" t="s">
        <v>6</v>
      </c>
      <c r="B5" s="12"/>
      <c r="C5" s="13"/>
      <c r="D5" s="13"/>
      <c r="E5" s="13"/>
      <c r="F5" s="13"/>
      <c r="G5" s="13"/>
      <c r="H5" s="13"/>
    </row>
    <row r="6" ht="35.25" customHeight="1">
      <c r="A6" s="14" t="s">
        <v>7</v>
      </c>
      <c r="B6" s="14" t="s">
        <v>8</v>
      </c>
      <c r="C6" s="14" t="s">
        <v>9</v>
      </c>
      <c r="D6" s="14" t="s">
        <v>10</v>
      </c>
      <c r="E6" s="14" t="s">
        <v>11</v>
      </c>
      <c r="F6" s="14" t="s">
        <v>12</v>
      </c>
      <c r="G6" s="14" t="s">
        <v>13</v>
      </c>
      <c r="H6" s="14" t="s">
        <v>14</v>
      </c>
    </row>
    <row r="7">
      <c r="A7" s="55" t="s">
        <v>17</v>
      </c>
      <c r="B7" s="16" t="s">
        <v>16</v>
      </c>
      <c r="C7" s="56">
        <v>46027.0</v>
      </c>
      <c r="D7" s="57">
        <v>0.7708333333333334</v>
      </c>
      <c r="E7" s="58">
        <v>0.8333333333333334</v>
      </c>
      <c r="F7" s="59" t="s">
        <v>26</v>
      </c>
      <c r="G7" s="30">
        <f t="shared" ref="G7:G20" si="1">MAX(IF(F7="YES", ((E7-D7) * 24) - 1, (E7-D7) * 24), 0)</f>
        <v>1.5</v>
      </c>
      <c r="H7" s="31" t="s">
        <v>19</v>
      </c>
    </row>
    <row r="8">
      <c r="A8" s="55" t="s">
        <v>17</v>
      </c>
      <c r="B8" s="16" t="s">
        <v>16</v>
      </c>
      <c r="C8" s="60"/>
      <c r="D8" s="61"/>
      <c r="E8" s="62"/>
      <c r="F8" s="59" t="s">
        <v>26</v>
      </c>
      <c r="G8" s="30">
        <f t="shared" si="1"/>
        <v>0</v>
      </c>
      <c r="H8" s="63"/>
    </row>
    <row r="9" ht="15.75" customHeight="1">
      <c r="A9" s="55" t="s">
        <v>17</v>
      </c>
      <c r="B9" s="16" t="s">
        <v>16</v>
      </c>
      <c r="C9" s="60"/>
      <c r="D9" s="61"/>
      <c r="E9" s="62"/>
      <c r="F9" s="59" t="s">
        <v>26</v>
      </c>
      <c r="G9" s="30">
        <f t="shared" si="1"/>
        <v>0</v>
      </c>
      <c r="H9" s="64"/>
    </row>
    <row r="10" ht="14.25" customHeight="1">
      <c r="A10" s="55" t="s">
        <v>17</v>
      </c>
      <c r="B10" s="16" t="s">
        <v>16</v>
      </c>
      <c r="C10" s="60"/>
      <c r="D10" s="61"/>
      <c r="E10" s="62"/>
      <c r="F10" s="59" t="s">
        <v>26</v>
      </c>
      <c r="G10" s="30">
        <f t="shared" si="1"/>
        <v>0</v>
      </c>
      <c r="H10" s="64"/>
    </row>
    <row r="11">
      <c r="A11" s="55" t="s">
        <v>17</v>
      </c>
      <c r="B11" s="16" t="s">
        <v>16</v>
      </c>
      <c r="C11" s="60"/>
      <c r="D11" s="61"/>
      <c r="E11" s="62"/>
      <c r="F11" s="59" t="s">
        <v>26</v>
      </c>
      <c r="G11" s="30">
        <f t="shared" si="1"/>
        <v>0</v>
      </c>
      <c r="H11" s="63"/>
    </row>
    <row r="12">
      <c r="A12" s="55" t="s">
        <v>17</v>
      </c>
      <c r="B12" s="16" t="s">
        <v>16</v>
      </c>
      <c r="C12" s="60"/>
      <c r="D12" s="61"/>
      <c r="E12" s="62"/>
      <c r="F12" s="59" t="s">
        <v>26</v>
      </c>
      <c r="G12" s="30">
        <f t="shared" si="1"/>
        <v>0</v>
      </c>
      <c r="H12" s="63"/>
    </row>
    <row r="13">
      <c r="A13" s="55" t="s">
        <v>17</v>
      </c>
      <c r="B13" s="16" t="s">
        <v>16</v>
      </c>
      <c r="C13" s="60"/>
      <c r="D13" s="61"/>
      <c r="E13" s="62"/>
      <c r="F13" s="59" t="s">
        <v>26</v>
      </c>
      <c r="G13" s="30">
        <f t="shared" si="1"/>
        <v>0</v>
      </c>
      <c r="H13" s="63"/>
    </row>
    <row r="14">
      <c r="A14" s="55" t="s">
        <v>17</v>
      </c>
      <c r="B14" s="16" t="s">
        <v>16</v>
      </c>
      <c r="C14" s="60"/>
      <c r="D14" s="61"/>
      <c r="E14" s="62"/>
      <c r="F14" s="59" t="s">
        <v>26</v>
      </c>
      <c r="G14" s="30">
        <f t="shared" si="1"/>
        <v>0</v>
      </c>
      <c r="H14" s="63"/>
    </row>
    <row r="15">
      <c r="A15" s="55" t="s">
        <v>17</v>
      </c>
      <c r="B15" s="16" t="s">
        <v>16</v>
      </c>
      <c r="C15" s="60"/>
      <c r="D15" s="61"/>
      <c r="E15" s="62"/>
      <c r="F15" s="59" t="s">
        <v>26</v>
      </c>
      <c r="G15" s="30">
        <f t="shared" si="1"/>
        <v>0</v>
      </c>
      <c r="H15" s="63"/>
    </row>
    <row r="16">
      <c r="A16" s="55" t="s">
        <v>17</v>
      </c>
      <c r="B16" s="16" t="s">
        <v>16</v>
      </c>
      <c r="C16" s="60"/>
      <c r="D16" s="61"/>
      <c r="E16" s="62"/>
      <c r="F16" s="59" t="s">
        <v>26</v>
      </c>
      <c r="G16" s="30">
        <f t="shared" si="1"/>
        <v>0</v>
      </c>
      <c r="H16" s="63"/>
    </row>
    <row r="17">
      <c r="A17" s="55" t="s">
        <v>17</v>
      </c>
      <c r="B17" s="16" t="s">
        <v>16</v>
      </c>
      <c r="C17" s="60"/>
      <c r="D17" s="61"/>
      <c r="E17" s="62"/>
      <c r="F17" s="59" t="s">
        <v>26</v>
      </c>
      <c r="G17" s="30">
        <f t="shared" si="1"/>
        <v>0</v>
      </c>
      <c r="H17" s="63"/>
    </row>
    <row r="18">
      <c r="A18" s="55" t="s">
        <v>17</v>
      </c>
      <c r="B18" s="16" t="s">
        <v>16</v>
      </c>
      <c r="C18" s="60"/>
      <c r="D18" s="61"/>
      <c r="E18" s="62"/>
      <c r="F18" s="59" t="s">
        <v>26</v>
      </c>
      <c r="G18" s="30">
        <f t="shared" si="1"/>
        <v>0</v>
      </c>
      <c r="H18" s="63"/>
    </row>
    <row r="19">
      <c r="A19" s="55" t="s">
        <v>17</v>
      </c>
      <c r="B19" s="16" t="s">
        <v>16</v>
      </c>
      <c r="C19" s="60"/>
      <c r="D19" s="61"/>
      <c r="E19" s="62"/>
      <c r="F19" s="59" t="s">
        <v>26</v>
      </c>
      <c r="G19" s="30">
        <f t="shared" si="1"/>
        <v>0</v>
      </c>
      <c r="H19" s="63"/>
    </row>
    <row r="20">
      <c r="A20" s="55" t="s">
        <v>17</v>
      </c>
      <c r="B20" s="16" t="s">
        <v>16</v>
      </c>
      <c r="C20" s="60"/>
      <c r="D20" s="61"/>
      <c r="E20" s="62"/>
      <c r="F20" s="59" t="s">
        <v>26</v>
      </c>
      <c r="G20" s="30">
        <f t="shared" si="1"/>
        <v>0</v>
      </c>
      <c r="H20" s="63"/>
    </row>
    <row r="21" ht="14.25" customHeight="1">
      <c r="A21" s="38"/>
      <c r="B21" s="38"/>
      <c r="C21" s="38"/>
      <c r="D21" s="11"/>
      <c r="E21" s="11"/>
      <c r="F21" s="11"/>
      <c r="G21" s="11"/>
      <c r="H21" s="11"/>
    </row>
    <row r="22" ht="14.25" customHeight="1">
      <c r="A22" s="39" t="s">
        <v>20</v>
      </c>
      <c r="B22" s="40" t="s">
        <v>21</v>
      </c>
      <c r="C22" s="41" t="s">
        <v>22</v>
      </c>
      <c r="D22" s="11"/>
      <c r="E22" s="11"/>
      <c r="F22" s="11"/>
      <c r="G22" s="11"/>
      <c r="H22" s="11"/>
    </row>
    <row r="23" ht="14.25" customHeight="1">
      <c r="A23" s="42" t="s">
        <v>23</v>
      </c>
      <c r="B23" s="43">
        <f>SUMIF($A$7:$A$20,"W*",$G$7:$G$20)</f>
        <v>1.5</v>
      </c>
      <c r="C23" s="44">
        <f>B23/8</f>
        <v>0.1875</v>
      </c>
      <c r="D23" s="11"/>
      <c r="E23" s="11"/>
      <c r="F23" s="11"/>
      <c r="G23" s="11"/>
      <c r="H23" s="11"/>
    </row>
    <row r="24" ht="14.25" customHeight="1">
      <c r="A24" s="45" t="s">
        <v>24</v>
      </c>
      <c r="B24" s="46">
        <f t="shared" ref="B24:C24" si="2">SUM(B23)</f>
        <v>1.5</v>
      </c>
      <c r="C24" s="47">
        <f t="shared" si="2"/>
        <v>0.1875</v>
      </c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48"/>
      <c r="D27" s="11"/>
      <c r="E27" s="11"/>
      <c r="F27" s="11"/>
      <c r="G27" s="11"/>
      <c r="H27" s="11"/>
    </row>
    <row r="28" ht="14.25" customHeight="1">
      <c r="A28" s="1"/>
      <c r="B28" s="49"/>
      <c r="C28" s="49"/>
      <c r="D28" s="50"/>
      <c r="E28" s="11"/>
      <c r="F28" s="11"/>
      <c r="G28" s="11"/>
      <c r="H28" s="11"/>
    </row>
    <row r="29" ht="14.25" customHeight="1">
      <c r="A29" s="1"/>
      <c r="B29" s="51"/>
      <c r="C29" s="52"/>
      <c r="D29" s="11"/>
      <c r="E29" s="11"/>
      <c r="F29" s="11"/>
      <c r="G29" s="11"/>
      <c r="H29" s="11"/>
    </row>
    <row r="30" ht="14.25" customHeight="1">
      <c r="A30" s="1"/>
      <c r="B30" s="53"/>
      <c r="D30" s="1"/>
      <c r="E30" s="11"/>
      <c r="F30" s="11"/>
      <c r="G30" s="11"/>
      <c r="H30" s="11"/>
    </row>
    <row r="31" ht="14.25" customHeight="1">
      <c r="A31" s="1"/>
      <c r="B31" s="54"/>
      <c r="C31" s="49"/>
      <c r="D31" s="50"/>
      <c r="E31" s="11"/>
      <c r="F31" s="11"/>
      <c r="G31" s="11"/>
      <c r="H31" s="11"/>
    </row>
    <row r="32" ht="14.25" customHeight="1">
      <c r="A32" s="1"/>
      <c r="B32" s="51" t="s">
        <v>9</v>
      </c>
      <c r="C32" s="52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E35" s="11"/>
      <c r="F35" s="11"/>
      <c r="G35" s="11"/>
      <c r="H35" s="11"/>
    </row>
    <row r="36" ht="14.25" customHeight="1">
      <c r="E36" s="11"/>
      <c r="F36" s="11"/>
      <c r="G36" s="11"/>
      <c r="H36" s="11"/>
    </row>
    <row r="37" ht="14.25" customHeight="1">
      <c r="E37" s="11"/>
      <c r="F37" s="11"/>
      <c r="G37" s="11"/>
      <c r="H37" s="11"/>
    </row>
    <row r="38" ht="14.25" customHeight="1">
      <c r="E38" s="11"/>
      <c r="F38" s="11"/>
      <c r="G38" s="11"/>
      <c r="H38" s="11"/>
    </row>
    <row r="39" ht="14.25" customHeight="1">
      <c r="E39" s="11"/>
      <c r="F39" s="11"/>
      <c r="G39" s="11"/>
      <c r="H39" s="11"/>
    </row>
    <row r="40" ht="14.25" customHeight="1"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H$21"/>
  <mergeCells count="6">
    <mergeCell ref="B2:H2"/>
    <mergeCell ref="B27:C28"/>
    <mergeCell ref="B29:C29"/>
    <mergeCell ref="B30:C30"/>
    <mergeCell ref="B31:C31"/>
    <mergeCell ref="B32:C32"/>
  </mergeCells>
  <conditionalFormatting sqref="A7:H20">
    <cfRule type="expression" dxfId="0" priority="1" stopIfTrue="1">
      <formula>OR(LEFT($A7, 2)="H1", LEFT($A7, 2)="L1", LEFT($A7, 2)="L2")</formula>
    </cfRule>
  </conditionalFormatting>
  <conditionalFormatting sqref="G7:G20">
    <cfRule type="expression" dxfId="1" priority="2" stopIfTrue="1">
      <formula>OR(LEFT($A7, 2)="W1")</formula>
    </cfRule>
  </conditionalFormatting>
  <dataValidations>
    <dataValidation type="list" allowBlank="1" showErrorMessage="1" sqref="F7:F20">
      <formula1>"YES,NO"</formula1>
    </dataValidation>
    <dataValidation type="list" allowBlank="1" showErrorMessage="1" sqref="A7:A20">
      <formula1>"H1 - Holiday,W1 - Test Execution,L1 - Annual Leave,L2 - Sick Leave"</formula1>
    </dataValidation>
    <dataValidation type="list" allowBlank="1" showErrorMessage="1" sqref="B7:B20">
      <formula1>"Junior QA,Senior QA,Technical Specialist QA"</formula1>
    </dataValidation>
  </dataValidations>
  <printOptions/>
  <pageMargins bottom="0.13" footer="0.0" header="0.0" left="0.7" right="0.7" top="0.25"/>
  <pageSetup paperSize="9" scale="60" orientation="landscape"/>
  <drawing r:id="rId1"/>
</worksheet>
</file>